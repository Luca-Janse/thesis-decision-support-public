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lucajanse/Downloads/Thesis defence /"/>
    </mc:Choice>
  </mc:AlternateContent>
  <xr:revisionPtr revIDLastSave="0" documentId="8_{AF3A8BB8-022C-3E42-A446-12F9C64A55BE}" xr6:coauthVersionLast="47" xr6:coauthVersionMax="47" xr10:uidLastSave="{00000000-0000-0000-0000-000000000000}"/>
  <bookViews>
    <workbookView xWindow="0" yWindow="660" windowWidth="29400" windowHeight="17380" xr2:uid="{00000000-000D-0000-FFFF-FFFF00000000}"/>
  </bookViews>
  <sheets>
    <sheet name="Public Tool" sheetId="1" r:id="rId1"/>
    <sheet name="Public Inputs" sheetId="2" r:id="rId2"/>
    <sheet name="Read Me"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7" i="2" l="1"/>
  <c r="K147" i="2"/>
  <c r="J147" i="2"/>
  <c r="I147" i="2"/>
  <c r="L146" i="2"/>
  <c r="K146" i="2"/>
  <c r="J146" i="2"/>
  <c r="I146" i="2"/>
  <c r="L145" i="2"/>
  <c r="K145" i="2"/>
  <c r="J145" i="2"/>
  <c r="I145" i="2"/>
  <c r="L144" i="2"/>
  <c r="K144" i="2"/>
  <c r="J144" i="2"/>
  <c r="I144" i="2"/>
  <c r="L143" i="2"/>
  <c r="K143" i="2"/>
  <c r="J143" i="2"/>
  <c r="I143" i="2"/>
  <c r="L142" i="2"/>
  <c r="K142" i="2"/>
  <c r="J142" i="2"/>
  <c r="I142" i="2"/>
  <c r="L141" i="2"/>
  <c r="K141" i="2"/>
  <c r="J141" i="2"/>
  <c r="I141" i="2"/>
  <c r="L140" i="2"/>
  <c r="K140" i="2"/>
  <c r="J140" i="2"/>
  <c r="I140" i="2"/>
  <c r="L139" i="2"/>
  <c r="K139" i="2"/>
  <c r="J139" i="2"/>
  <c r="I139" i="2"/>
  <c r="L138" i="2"/>
  <c r="K138" i="2"/>
  <c r="J138" i="2"/>
  <c r="I138" i="2"/>
  <c r="L137" i="2"/>
  <c r="K137" i="2"/>
  <c r="J137" i="2"/>
  <c r="I137" i="2"/>
  <c r="L136" i="2"/>
  <c r="K136" i="2"/>
  <c r="J136" i="2"/>
  <c r="I136" i="2"/>
  <c r="L135" i="2"/>
  <c r="K135" i="2"/>
  <c r="J135" i="2"/>
  <c r="I135" i="2"/>
  <c r="L134" i="2"/>
  <c r="K134" i="2"/>
  <c r="J134" i="2"/>
  <c r="I134" i="2"/>
  <c r="L133" i="2"/>
  <c r="K133" i="2"/>
  <c r="J133" i="2"/>
  <c r="I133" i="2"/>
  <c r="L132" i="2"/>
  <c r="K132" i="2"/>
  <c r="J132" i="2"/>
  <c r="I132" i="2"/>
  <c r="L131" i="2"/>
  <c r="K131" i="2"/>
  <c r="J131" i="2"/>
  <c r="I131" i="2"/>
  <c r="L130" i="2"/>
  <c r="K130" i="2"/>
  <c r="J130" i="2"/>
  <c r="I130" i="2"/>
  <c r="L129" i="2"/>
  <c r="K129" i="2"/>
  <c r="J129" i="2"/>
  <c r="I129" i="2"/>
  <c r="L128" i="2"/>
  <c r="K128" i="2"/>
  <c r="J128" i="2"/>
  <c r="I128" i="2"/>
  <c r="L127" i="2"/>
  <c r="K127" i="2"/>
  <c r="J127" i="2"/>
  <c r="I127" i="2"/>
  <c r="L126" i="2"/>
  <c r="K126" i="2"/>
  <c r="J126" i="2"/>
  <c r="I126" i="2"/>
  <c r="L125" i="2"/>
  <c r="K125" i="2"/>
  <c r="J125" i="2"/>
  <c r="I125" i="2"/>
  <c r="L124" i="2"/>
  <c r="K124" i="2"/>
  <c r="J124" i="2"/>
  <c r="I124" i="2"/>
  <c r="L123" i="2"/>
  <c r="K123" i="2"/>
  <c r="J123" i="2"/>
  <c r="I123" i="2"/>
  <c r="L122" i="2"/>
  <c r="K122" i="2"/>
  <c r="J122" i="2"/>
  <c r="I122" i="2"/>
  <c r="L121" i="2"/>
  <c r="K121" i="2"/>
  <c r="J121" i="2"/>
  <c r="I121" i="2"/>
  <c r="L120" i="2"/>
  <c r="K120" i="2"/>
  <c r="J120" i="2"/>
  <c r="I120" i="2"/>
  <c r="L119" i="2"/>
  <c r="K119" i="2"/>
  <c r="J119" i="2"/>
  <c r="I119" i="2"/>
  <c r="L118" i="2"/>
  <c r="K118" i="2"/>
  <c r="J118" i="2"/>
  <c r="I118" i="2"/>
  <c r="L117" i="2"/>
  <c r="K117" i="2"/>
  <c r="J117" i="2"/>
  <c r="I117" i="2"/>
  <c r="L116" i="2"/>
  <c r="K116" i="2"/>
  <c r="J116" i="2"/>
  <c r="I116" i="2"/>
  <c r="L115" i="2"/>
  <c r="K115" i="2"/>
  <c r="J115" i="2"/>
  <c r="I115" i="2"/>
  <c r="L114" i="2"/>
  <c r="K114" i="2"/>
  <c r="J114" i="2"/>
  <c r="I114" i="2"/>
  <c r="L113" i="2"/>
  <c r="K113" i="2"/>
  <c r="J113" i="2"/>
  <c r="I113" i="2"/>
  <c r="L112" i="2"/>
  <c r="K112" i="2"/>
  <c r="J112" i="2"/>
  <c r="I112" i="2"/>
  <c r="L111" i="2"/>
  <c r="K111" i="2"/>
  <c r="J111" i="2"/>
  <c r="I111" i="2"/>
  <c r="L110" i="2"/>
  <c r="K110" i="2"/>
  <c r="J110" i="2"/>
  <c r="I110" i="2"/>
  <c r="L109" i="2"/>
  <c r="K109" i="2"/>
  <c r="J109" i="2"/>
  <c r="I109" i="2"/>
  <c r="L108" i="2"/>
  <c r="K108" i="2"/>
  <c r="J108" i="2"/>
  <c r="I108" i="2"/>
  <c r="L107" i="2"/>
  <c r="K107" i="2"/>
  <c r="J107" i="2"/>
  <c r="I107" i="2"/>
  <c r="L106" i="2"/>
  <c r="K106" i="2"/>
  <c r="J106" i="2"/>
  <c r="I106" i="2"/>
  <c r="L105" i="2"/>
  <c r="K105" i="2"/>
  <c r="J105" i="2"/>
  <c r="I105" i="2"/>
  <c r="L104" i="2"/>
  <c r="K104" i="2"/>
  <c r="J104" i="2"/>
  <c r="I104" i="2"/>
  <c r="L103" i="2"/>
  <c r="K103" i="2"/>
  <c r="J103" i="2"/>
  <c r="I103" i="2"/>
  <c r="L102" i="2"/>
  <c r="K102" i="2"/>
  <c r="J102" i="2"/>
  <c r="I102" i="2"/>
  <c r="L101" i="2"/>
  <c r="K101" i="2"/>
  <c r="J101" i="2"/>
  <c r="I101" i="2"/>
  <c r="L100" i="2"/>
  <c r="K100" i="2"/>
  <c r="J100" i="2"/>
  <c r="I100" i="2"/>
  <c r="L99" i="2"/>
  <c r="K99" i="2"/>
  <c r="J99" i="2"/>
  <c r="I99" i="2"/>
  <c r="L98" i="2"/>
  <c r="K98" i="2"/>
  <c r="J98" i="2"/>
  <c r="I98" i="2"/>
  <c r="L97" i="2"/>
  <c r="K97" i="2"/>
  <c r="J97" i="2"/>
  <c r="I97" i="2"/>
  <c r="L96" i="2"/>
  <c r="K96" i="2"/>
  <c r="J96" i="2"/>
  <c r="I96" i="2"/>
  <c r="L95" i="2"/>
  <c r="K95" i="2"/>
  <c r="J95" i="2"/>
  <c r="I95" i="2"/>
  <c r="L94" i="2"/>
  <c r="K94" i="2"/>
  <c r="J94" i="2"/>
  <c r="I94" i="2"/>
  <c r="L93" i="2"/>
  <c r="K93" i="2"/>
  <c r="J93" i="2"/>
  <c r="I93" i="2"/>
  <c r="L92" i="2"/>
  <c r="K92" i="2"/>
  <c r="J92" i="2"/>
  <c r="I92" i="2"/>
  <c r="L91" i="2"/>
  <c r="K91" i="2"/>
  <c r="J91" i="2"/>
  <c r="I91" i="2"/>
  <c r="L90" i="2"/>
  <c r="K90" i="2"/>
  <c r="J90" i="2"/>
  <c r="I90" i="2"/>
  <c r="L89" i="2"/>
  <c r="K89" i="2"/>
  <c r="J89" i="2"/>
  <c r="I89" i="2"/>
  <c r="L88" i="2"/>
  <c r="K88" i="2"/>
  <c r="J88" i="2"/>
  <c r="I88" i="2"/>
  <c r="L87" i="2"/>
  <c r="K87" i="2"/>
  <c r="J87" i="2"/>
  <c r="I87" i="2"/>
  <c r="L86" i="2"/>
  <c r="K86" i="2"/>
  <c r="J86" i="2"/>
  <c r="I86" i="2"/>
  <c r="L85" i="2"/>
  <c r="K85" i="2"/>
  <c r="J85" i="2"/>
  <c r="I85" i="2"/>
  <c r="L84" i="2"/>
  <c r="K84" i="2"/>
  <c r="J84" i="2"/>
  <c r="I84" i="2"/>
  <c r="L83" i="2"/>
  <c r="K83" i="2"/>
  <c r="J83" i="2"/>
  <c r="I83" i="2"/>
  <c r="L82" i="2"/>
  <c r="K82" i="2"/>
  <c r="J82" i="2"/>
  <c r="I82" i="2"/>
  <c r="L81" i="2"/>
  <c r="K81" i="2"/>
  <c r="J81" i="2"/>
  <c r="I81" i="2"/>
  <c r="L80" i="2"/>
  <c r="K80" i="2"/>
  <c r="J80" i="2"/>
  <c r="I80" i="2"/>
  <c r="L79" i="2"/>
  <c r="K79" i="2"/>
  <c r="J79" i="2"/>
  <c r="I79" i="2"/>
  <c r="L78" i="2"/>
  <c r="K78" i="2"/>
  <c r="J78" i="2"/>
  <c r="I78" i="2"/>
  <c r="L77" i="2"/>
  <c r="K77" i="2"/>
  <c r="J77" i="2"/>
  <c r="I77" i="2"/>
  <c r="L76" i="2"/>
  <c r="K76" i="2"/>
  <c r="J76" i="2"/>
  <c r="I76" i="2"/>
  <c r="L75" i="2"/>
  <c r="K75" i="2"/>
  <c r="J75" i="2"/>
  <c r="I75" i="2"/>
  <c r="L74" i="2"/>
  <c r="K74" i="2"/>
  <c r="J74" i="2"/>
  <c r="I74" i="2"/>
  <c r="L73" i="2"/>
  <c r="K73" i="2"/>
  <c r="J73" i="2"/>
  <c r="I73" i="2"/>
  <c r="L72" i="2"/>
  <c r="K72" i="2"/>
  <c r="J72" i="2"/>
  <c r="I72" i="2"/>
  <c r="L71" i="2"/>
  <c r="K71" i="2"/>
  <c r="J71" i="2"/>
  <c r="I71" i="2"/>
  <c r="L70" i="2"/>
  <c r="K70" i="2"/>
  <c r="J70" i="2"/>
  <c r="I70" i="2"/>
  <c r="L69" i="2"/>
  <c r="K69" i="2"/>
  <c r="J69" i="2"/>
  <c r="I69" i="2"/>
  <c r="L68" i="2"/>
  <c r="K68" i="2"/>
  <c r="J68" i="2"/>
  <c r="I68" i="2"/>
  <c r="L67" i="2"/>
  <c r="K67" i="2"/>
  <c r="J67" i="2"/>
  <c r="I67" i="2"/>
  <c r="L66" i="2"/>
  <c r="K66" i="2"/>
  <c r="J66" i="2"/>
  <c r="I66" i="2"/>
  <c r="L65" i="2"/>
  <c r="K65" i="2"/>
  <c r="J65" i="2"/>
  <c r="I65" i="2"/>
  <c r="L64" i="2"/>
  <c r="K64" i="2"/>
  <c r="J64" i="2"/>
  <c r="I64" i="2"/>
  <c r="L63" i="2"/>
  <c r="K63" i="2"/>
  <c r="J63" i="2"/>
  <c r="I63" i="2"/>
  <c r="L62" i="2"/>
  <c r="K62" i="2"/>
  <c r="J62" i="2"/>
  <c r="I62" i="2"/>
  <c r="L61" i="2"/>
  <c r="K61" i="2"/>
  <c r="J61" i="2"/>
  <c r="I61" i="2"/>
  <c r="L60" i="2"/>
  <c r="K60" i="2"/>
  <c r="J60" i="2"/>
  <c r="I60" i="2"/>
  <c r="L59" i="2"/>
  <c r="K59" i="2"/>
  <c r="J59" i="2"/>
  <c r="I59" i="2"/>
  <c r="L58" i="2"/>
  <c r="K58" i="2"/>
  <c r="J58" i="2"/>
  <c r="I58" i="2"/>
  <c r="L57" i="2"/>
  <c r="K57" i="2"/>
  <c r="J57" i="2"/>
  <c r="I57" i="2"/>
  <c r="L56" i="2"/>
  <c r="K56" i="2"/>
  <c r="J56" i="2"/>
  <c r="I56" i="2"/>
  <c r="L55" i="2"/>
  <c r="K55" i="2"/>
  <c r="J55" i="2"/>
  <c r="I55" i="2"/>
  <c r="L54" i="2"/>
  <c r="K54" i="2"/>
  <c r="J54" i="2"/>
  <c r="I54" i="2"/>
  <c r="L53" i="2"/>
  <c r="K53" i="2"/>
  <c r="J53" i="2"/>
  <c r="I53" i="2"/>
  <c r="L52" i="2"/>
  <c r="K52" i="2"/>
  <c r="J52" i="2"/>
  <c r="I52" i="2"/>
  <c r="L51" i="2"/>
  <c r="K51" i="2"/>
  <c r="J51" i="2"/>
  <c r="I51" i="2"/>
  <c r="L50" i="2"/>
  <c r="K50" i="2"/>
  <c r="J50" i="2"/>
  <c r="I50" i="2"/>
  <c r="L49" i="2"/>
  <c r="K49" i="2"/>
  <c r="J49" i="2"/>
  <c r="I49" i="2"/>
  <c r="L48" i="2"/>
  <c r="K48" i="2"/>
  <c r="J48" i="2"/>
  <c r="I48" i="2"/>
  <c r="L47" i="2"/>
  <c r="K47" i="2"/>
  <c r="J47" i="2"/>
  <c r="I47" i="2"/>
  <c r="L46" i="2"/>
  <c r="K46" i="2"/>
  <c r="J46" i="2"/>
  <c r="I46" i="2"/>
  <c r="L45" i="2"/>
  <c r="K45" i="2"/>
  <c r="J45" i="2"/>
  <c r="I45" i="2"/>
  <c r="L44" i="2"/>
  <c r="K44" i="2"/>
  <c r="J44" i="2"/>
  <c r="I44" i="2"/>
  <c r="L43" i="2"/>
  <c r="K43" i="2"/>
  <c r="J43" i="2"/>
  <c r="I43" i="2"/>
  <c r="L42" i="2"/>
  <c r="K42" i="2"/>
  <c r="J42" i="2"/>
  <c r="I42" i="2"/>
  <c r="L41" i="2"/>
  <c r="K41" i="2"/>
  <c r="J41" i="2"/>
  <c r="I41" i="2"/>
  <c r="L40" i="2"/>
  <c r="K40" i="2"/>
  <c r="J40" i="2"/>
  <c r="I40" i="2"/>
  <c r="L39" i="2"/>
  <c r="K39" i="2"/>
  <c r="J39" i="2"/>
  <c r="I39" i="2"/>
  <c r="L38" i="2"/>
  <c r="K38" i="2"/>
  <c r="J38" i="2"/>
  <c r="I38" i="2"/>
  <c r="L37" i="2"/>
  <c r="K37" i="2"/>
  <c r="J37" i="2"/>
  <c r="I37" i="2"/>
  <c r="L36" i="2"/>
  <c r="K36" i="2"/>
  <c r="J36" i="2"/>
  <c r="I36" i="2"/>
  <c r="L35" i="2"/>
  <c r="K35" i="2"/>
  <c r="J35" i="2"/>
  <c r="I35" i="2"/>
  <c r="L34" i="2"/>
  <c r="K34" i="2"/>
  <c r="J34" i="2"/>
  <c r="I34" i="2"/>
  <c r="L33" i="2"/>
  <c r="K33" i="2"/>
  <c r="J33" i="2"/>
  <c r="I33" i="2"/>
  <c r="L32" i="2"/>
  <c r="K32" i="2"/>
  <c r="J32" i="2"/>
  <c r="I32" i="2"/>
  <c r="L31" i="2"/>
  <c r="K31" i="2"/>
  <c r="J31" i="2"/>
  <c r="I31" i="2"/>
  <c r="L30" i="2"/>
  <c r="K30" i="2"/>
  <c r="J30" i="2"/>
  <c r="I30" i="2"/>
  <c r="L29" i="2"/>
  <c r="K29" i="2"/>
  <c r="J29" i="2"/>
  <c r="I29" i="2"/>
  <c r="L28" i="2"/>
  <c r="K28" i="2"/>
  <c r="J28" i="2"/>
  <c r="I28" i="2"/>
  <c r="S17" i="2"/>
  <c r="R17" i="2"/>
  <c r="Q17" i="2"/>
  <c r="P17" i="2"/>
  <c r="F17" i="2"/>
  <c r="E17" i="2"/>
  <c r="C17" i="2"/>
  <c r="S16" i="2"/>
  <c r="R16" i="2"/>
  <c r="Q16" i="2"/>
  <c r="P16" i="2"/>
  <c r="S15" i="2"/>
  <c r="R15" i="2"/>
  <c r="Q15" i="2"/>
  <c r="P15" i="2"/>
  <c r="S14" i="2"/>
  <c r="R14" i="2"/>
  <c r="Q14" i="2"/>
  <c r="P14" i="2"/>
  <c r="S13" i="2"/>
  <c r="R13" i="2"/>
  <c r="Q13" i="2"/>
  <c r="P13" i="2"/>
  <c r="S12" i="2"/>
  <c r="R12" i="2"/>
  <c r="Q12" i="2"/>
  <c r="P12" i="2"/>
  <c r="S11" i="2"/>
  <c r="R11" i="2"/>
  <c r="Q11" i="2"/>
  <c r="P11" i="2"/>
  <c r="S10" i="2"/>
  <c r="R10" i="2"/>
  <c r="Q10" i="2"/>
  <c r="P10" i="2"/>
  <c r="S9" i="2"/>
  <c r="R9" i="2"/>
  <c r="Q9" i="2"/>
  <c r="P9" i="2"/>
  <c r="S8" i="2"/>
  <c r="R8" i="2"/>
  <c r="Q8" i="2"/>
  <c r="P8" i="2"/>
  <c r="S7" i="2"/>
  <c r="R7" i="2"/>
  <c r="Q7" i="2"/>
  <c r="P7" i="2"/>
  <c r="S6" i="2"/>
  <c r="R6" i="2"/>
  <c r="Q6" i="2"/>
  <c r="P6" i="2"/>
  <c r="L31" i="1"/>
  <c r="I31" i="1"/>
  <c r="H31" i="1"/>
  <c r="G31" i="1"/>
  <c r="F31" i="1"/>
  <c r="E31" i="1"/>
  <c r="D31" i="1"/>
  <c r="L30" i="1"/>
  <c r="I30" i="1"/>
  <c r="H30" i="1"/>
  <c r="G30" i="1"/>
  <c r="F30" i="1"/>
  <c r="E30" i="1"/>
  <c r="D30" i="1"/>
  <c r="L29" i="1"/>
  <c r="I29" i="1"/>
  <c r="H29" i="1"/>
  <c r="G29" i="1"/>
  <c r="F29" i="1"/>
  <c r="E29" i="1"/>
  <c r="D29" i="1"/>
  <c r="L28" i="1"/>
  <c r="I28" i="1"/>
  <c r="H28" i="1"/>
  <c r="G28" i="1"/>
  <c r="F28" i="1"/>
  <c r="E28" i="1"/>
  <c r="D28" i="1"/>
  <c r="L27" i="1"/>
  <c r="I27" i="1"/>
  <c r="H27" i="1"/>
  <c r="G27" i="1"/>
  <c r="F27" i="1"/>
  <c r="E27" i="1"/>
  <c r="D27" i="1"/>
  <c r="L26" i="1"/>
  <c r="I26" i="1"/>
  <c r="H26" i="1"/>
  <c r="G26" i="1"/>
  <c r="F26" i="1"/>
  <c r="E26" i="1"/>
  <c r="D26" i="1"/>
  <c r="L25" i="1"/>
  <c r="I25" i="1"/>
  <c r="H25" i="1"/>
  <c r="G25" i="1"/>
  <c r="F25" i="1"/>
  <c r="E25" i="1"/>
  <c r="D25" i="1"/>
  <c r="L24" i="1"/>
  <c r="I24" i="1"/>
  <c r="H24" i="1"/>
  <c r="G24" i="1"/>
  <c r="F24" i="1"/>
  <c r="E24" i="1"/>
  <c r="D24" i="1"/>
  <c r="L23" i="1"/>
  <c r="I23" i="1"/>
  <c r="H23" i="1"/>
  <c r="G23" i="1"/>
  <c r="F23" i="1"/>
  <c r="E23" i="1"/>
  <c r="D23" i="1"/>
  <c r="L22" i="1"/>
  <c r="I22" i="1"/>
  <c r="H22" i="1"/>
  <c r="G22" i="1"/>
  <c r="F22" i="1"/>
  <c r="E22" i="1"/>
  <c r="D22" i="1"/>
  <c r="A18" i="1"/>
  <c r="C17" i="1"/>
  <c r="K16" i="1"/>
  <c r="I16" i="1"/>
  <c r="G16" i="1"/>
  <c r="E16" i="1"/>
  <c r="C16" i="1"/>
  <c r="K15" i="1"/>
  <c r="I15" i="1"/>
  <c r="G15" i="1"/>
  <c r="E15" i="1"/>
  <c r="C15" i="1"/>
  <c r="K13" i="1"/>
  <c r="I13" i="1"/>
  <c r="G13" i="1"/>
  <c r="E13" i="1"/>
  <c r="C13" i="1"/>
  <c r="A13" i="1"/>
  <c r="F9" i="1"/>
  <c r="E9" i="1"/>
  <c r="D9" i="1"/>
  <c r="H8" i="1"/>
  <c r="F8" i="1"/>
  <c r="E8" i="1"/>
  <c r="D8" i="1"/>
  <c r="F7" i="1"/>
  <c r="E7" i="1"/>
  <c r="D7" i="1"/>
  <c r="F6" i="1"/>
  <c r="E6" i="1"/>
  <c r="D6" i="1"/>
  <c r="H5" i="1" l="1"/>
  <c r="H7" i="1" s="1"/>
</calcChain>
</file>

<file path=xl/sharedStrings.xml><?xml version="1.0" encoding="utf-8"?>
<sst xmlns="http://schemas.openxmlformats.org/spreadsheetml/2006/main" count="1256" uniqueCount="395">
  <si>
    <t>TAPIR Public Decision-Support Tool</t>
  </si>
  <si>
    <t>SELECTED CASE</t>
  </si>
  <si>
    <t>Schouwen-Duiveland</t>
  </si>
  <si>
    <t>Response-option ranking</t>
  </si>
  <si>
    <t>Preferred response option</t>
  </si>
  <si>
    <t>Response option</t>
  </si>
  <si>
    <t>Grid operator</t>
  </si>
  <si>
    <t>Company</t>
  </si>
  <si>
    <t>Equal actor average</t>
  </si>
  <si>
    <t>Conventional grid reinforcement</t>
  </si>
  <si>
    <t>Battery + EMS</t>
  </si>
  <si>
    <t>Group Transport Agreement</t>
  </si>
  <si>
    <t>No additional intervention</t>
  </si>
  <si>
    <t>Case context - public village demand indicators and percentage-only station load</t>
  </si>
  <si>
    <t>Public village label</t>
  </si>
  <si>
    <t>Village data coverage</t>
  </si>
  <si>
    <t>Average daily demand</t>
  </si>
  <si>
    <t>Village maximum peak</t>
  </si>
  <si>
    <t>Peak period at annual maximum</t>
  </si>
  <si>
    <t>Peak-period average</t>
  </si>
  <si>
    <t>ATC stress 2025</t>
  </si>
  <si>
    <t>ATC stress 2031</t>
  </si>
  <si>
    <t>First constraint year</t>
  </si>
  <si>
    <t>Hours at or above 90% (total / holiday)</t>
  </si>
  <si>
    <t>Holiday share of those hours</t>
  </si>
  <si>
    <t>Distribution / MS level</t>
  </si>
  <si>
    <t>Threshold 90%</t>
  </si>
  <si>
    <t>TAPIR-adjusted criteria and selected-case scores</t>
  </si>
  <si>
    <t>Actor</t>
  </si>
  <si>
    <t>Criterion</t>
  </si>
  <si>
    <t>Weight</t>
  </si>
  <si>
    <t>TAPIR factor</t>
  </si>
  <si>
    <t>Grid-operator life-cycle cost and investment effect</t>
  </si>
  <si>
    <t>Timing, duration, reliability and predictability</t>
  </si>
  <si>
    <t>Speed and effect on reinforcement bridge gap</t>
  </si>
  <si>
    <t>Technical and operational readiness</t>
  </si>
  <si>
    <t>Legal, contractual and policy embeddedness</t>
  </si>
  <si>
    <t>Financial attractiveness</t>
  </si>
  <si>
    <t>Implementation speed and urgency fit</t>
  </si>
  <si>
    <t>Knowledge and organisational burden</t>
  </si>
  <si>
    <t>Autonomy and dependency</t>
  </si>
  <si>
    <t>Sustainability, image and strategic risk</t>
  </si>
  <si>
    <t>Interpretation and public-use note</t>
  </si>
  <si>
    <t>Response option is the umbrella term for the four alternatives. Battery + EMS and the Group Transport Agreement are the flexibility-solution subset; conventional grid reinforcement and no additional intervention are not flexibility solutions.</t>
  </si>
  <si>
    <t>Flexibility is assessed as a possible complement to or bridge towards reinforcement. It is not assumed to replace reinforcement where the percentage-based grid evidence indicates that physical capacity remains necessary.</t>
  </si>
  <si>
    <t>Score precision: every score is displayed to one decimal place (for example 3.7 / 5, not 4) and the same precision applies to all three cases. The underlying values are the full weighted results and are not rounded before display.</t>
  </si>
  <si>
    <t>Village demand indicators are public tourism-demand data and are shown in full. Confidentiality applies only to identifiers and absolute grid values: the workbook contains no village names, station names or codes, no absolute station load, capacity or relief values, no exact project costs or dates, no internal source filenames, no hidden sheets and no external links.</t>
  </si>
  <si>
    <t>Public TAPIR Inputs and Scoring Logic</t>
  </si>
  <si>
    <t>Public version: village demand indicators are shown in full; village names, station names and all absolute grid load/capacity values are removed</t>
  </si>
  <si>
    <t>Editable base criteria, weights and response-option scores</t>
  </si>
  <si>
    <t>Case-specific pathway result library</t>
  </si>
  <si>
    <t>KPI / evidence basis</t>
  </si>
  <si>
    <t>Case region</t>
  </si>
  <si>
    <t>Grid-operator score</t>
  </si>
  <si>
    <t>Company score</t>
  </si>
  <si>
    <t>Result</t>
  </si>
  <si>
    <t>Lookup key</t>
  </si>
  <si>
    <t>Economic prospects</t>
  </si>
  <si>
    <t>Relative investment implications, flexibility cost and potential reinforcement deferral; absolute project values are excluded.</t>
  </si>
  <si>
    <t>Schouwen-Duiveland|Conventional grid reinforcement</t>
  </si>
  <si>
    <t>Maturity</t>
  </si>
  <si>
    <t>Threshold exceedance pattern, timing, availability and asset life, expressed without absolute load data.</t>
  </si>
  <si>
    <t>Schouwen-Duiveland|Battery + EMS</t>
  </si>
  <si>
    <t>Feasibility</t>
  </si>
  <si>
    <t>Whether an option is available during the bridge period and reduces ATC stress to 90% or below.</t>
  </si>
  <si>
    <t>Schouwen-Duiveland|Group Transport Agreement</t>
  </si>
  <si>
    <t>Installed assets, control systems and the operational status of flexibility arrangements.</t>
  </si>
  <si>
    <t>Schouwen-Duiveland|No additional intervention</t>
  </si>
  <si>
    <t>Local embeddedness</t>
  </si>
  <si>
    <t>Legal status, agreements, connection conditions and policy alignment.</t>
  </si>
  <si>
    <t>Walcheren</t>
  </si>
  <si>
    <t>Walcheren|Conventional grid reinforcement</t>
  </si>
  <si>
    <t>Relative cost, benefit, payback and compensation considerations; confidential monetary values are excluded.</t>
  </si>
  <si>
    <t>Walcheren|Battery + EMS</t>
  </si>
  <si>
    <t>Case-specific lead time and availability before the constraint becomes binding.</t>
  </si>
  <si>
    <t>Walcheren|Group Transport Agreement</t>
  </si>
  <si>
    <t>Scalability + feasibility</t>
  </si>
  <si>
    <t>Advice needs, actors involved, management time and coordination requirements.</t>
  </si>
  <si>
    <t>Walcheren|No additional intervention</t>
  </si>
  <si>
    <t>Regional relatedness + local embeddedness</t>
  </si>
  <si>
    <t>Asset control, dependence on other actors and collective decision requirements.</t>
  </si>
  <si>
    <t>West-Zeeuws-Vlaanderen</t>
  </si>
  <si>
    <t>West-Zeeuws-Vlaanderen|Conventional grid reinforcement</t>
  </si>
  <si>
    <t>Climate and energy impacts</t>
  </si>
  <si>
    <t>Electrification, renewable-energy use, policy alignment and strategic fit.</t>
  </si>
  <si>
    <t>West-Zeeuws-Vlaanderen|Battery + EMS</t>
  </si>
  <si>
    <t>West-Zeeuws-Vlaanderen|Group Transport Agreement</t>
  </si>
  <si>
    <t>Weight validation</t>
  </si>
  <si>
    <t>West-Zeeuws-Vlaanderen|No additional intervention</t>
  </si>
  <si>
    <t>Anonymised case indicators — load values expressed only as percentages</t>
  </si>
  <si>
    <t>Selected-case adjustment summaries</t>
  </si>
  <si>
    <t>Public village demand indicators and two-station percentage load indicators</t>
  </si>
  <si>
    <t>Data coverage</t>
  </si>
  <si>
    <t>Distribution / MS-level station: peak as % of capacity</t>
  </si>
  <si>
    <t>High-voltage station: baseline peak as % of capacity</t>
  </si>
  <si>
    <t>High-voltage station: after battery + EMS</t>
  </si>
  <si>
    <t>High-voltage station: after Group Transport Agreement</t>
  </si>
  <si>
    <t>Evidence basis</t>
  </si>
  <si>
    <t>Threshold result</t>
  </si>
  <si>
    <t>Public grid summary</t>
  </si>
  <si>
    <t>Interview synthesis</t>
  </si>
  <si>
    <t>Public-data note</t>
  </si>
  <si>
    <t>Public adjustment summary</t>
  </si>
  <si>
    <t>Village average daily demand (kWh/day)</t>
  </si>
  <si>
    <t>Village maximum peak (kW)</t>
  </si>
  <si>
    <t>Peak period containing the annual maximum</t>
  </si>
  <si>
    <t>Peak-period average daily demand (kWh/day)</t>
  </si>
  <si>
    <t>MS ATC stress 2025</t>
  </si>
  <si>
    <t>MS ATC stress 2031</t>
  </si>
  <si>
    <t>MS first constraint year</t>
  </si>
  <si>
    <t>MS critical hours at or above 90%</t>
  </si>
  <si>
    <t>MS holiday share of critical hours</t>
  </si>
  <si>
    <t>HVS ATC stress 2025</t>
  </si>
  <si>
    <t>HVS ATC stress 2031</t>
  </si>
  <si>
    <t>HVS first constraint year</t>
  </si>
  <si>
    <t>HVS critical hours at or above 90%</t>
  </si>
  <si>
    <t>HVS holiday share of critical hours</t>
  </si>
  <si>
    <t>Scenario and evidence-year note</t>
  </si>
  <si>
    <t>Village 1</t>
  </si>
  <si>
    <t>Forecast percentage</t>
  </si>
  <si>
    <t>Neither flexibility solution clears the 90% threshold</t>
  </si>
  <si>
    <t>The high-voltage station is forecast to exceed the threshold before planned reinforcement. Both flexibility solutions reduce stress, but neither removes the exceedance; reinforcement therefore remains necessary.</t>
  </si>
  <si>
    <t>Interview synthesis indicates that existing regional cooperation may lower the coordination burden for a collective agreement, while companies continue to value autonomy and options that can be implemented quickly.</t>
  </si>
  <si>
    <t>All load and capacity indicators are normalised percentages. Absolute electrical values, station identifiers and exact project inputs have been removed.</t>
  </si>
  <si>
    <t>Base score unchanged for this criterion.</t>
  </si>
  <si>
    <t>Schouwen-Duiveland|Grid-operator life-cycle cost and investment effect</t>
  </si>
  <si>
    <t>Christmas holiday</t>
  </si>
  <si>
    <t>N/A</t>
  </si>
  <si>
    <t>0 total / 0 holiday</t>
  </si>
  <si>
    <t>10 total / 7 holiday</t>
  </si>
  <si>
    <t>Both percentages are forecast values. The distribution-level percentage cannot be reproduced from the forecast series at the stated capacity, so its evidence year is unresolved; the high-voltage percentage is the 2031 forecast. Flexibility lowers the high-voltage level to 91.4% (battery + EMS) and 91.6% (Group Transport Agreement), so neither clears 90%.</t>
  </si>
  <si>
    <t>Village 2</t>
  </si>
  <si>
    <t>Measured percentage test</t>
  </si>
  <si>
    <t>Both flexibility solutions clear the 90% threshold in the measured test</t>
  </si>
  <si>
    <t>Short peaks at the high-voltage station are reduced below the threshold by both flexibility solutions. The margins are narrow, and performance over the full period remains uncertain without a forward series.</t>
  </si>
  <si>
    <t>Interview synthesis indicates that battery and EMS operation is already established at several companies. Collective initiatives are less mature and place more coordination responsibility on participating companies.</t>
  </si>
  <si>
    <t>Reinforcement follows a short bridge period while the binding-component stress exceeds the 90% threshold.</t>
  </si>
  <si>
    <t>Schouwen-Duiveland|Timing, duration, reliability and predictability</t>
  </si>
  <si>
    <t>4.25 total / 1.75 holiday</t>
  </si>
  <si>
    <t>The high-voltage percentage is a 2025 measurement; no forward forecast series exists for that level because reinforcement follows in the short term. The distribution-level percentage is the 2031 forecast. Flexibility lowers the high-voltage level to 88.3% (battery + EMS) and 89.1% (Group Transport Agreement).</t>
  </si>
  <si>
    <t>Village 3</t>
  </si>
  <si>
    <t>Both flexibility solutions clear the 90% threshold initially; future coverage is uncertain</t>
  </si>
  <si>
    <t>The high-voltage station marginally exceeds the threshold in the measured profile. Both flexibility solutions clear the threshold initially, but the longer-term result and the link to reinforcement remain uncertain.</t>
  </si>
  <si>
    <t>Interview synthesis indicates that batteries are under consideration, whereas central company decision structures and limited collective governance increase the coordination burden for a Group Transport Agreement.</t>
  </si>
  <si>
    <t>No relief is provided during the bridge period; the baseline ATC stress remains 97.0%.</t>
  </si>
  <si>
    <t>Schouwen-Duiveland|Speed and effect on reinforcement bridge gap</t>
  </si>
  <si>
    <t>N/A - annual peak outside the defined periods</t>
  </si>
  <si>
    <t>1 total / 0 holiday</t>
  </si>
  <si>
    <t>Not derived</t>
  </si>
  <si>
    <t>The high-voltage percentage is a 2025 measurement; the holiday split of the single critical hour was not derived. The distribution-level percentage is the earliest available forecast year (2026) rather than 2031, and that level stays below capacity across the forecast horizon. Flexibility lowers the high-voltage level to 86.1% (battery + EMS) and 85.8% (Group Transport Agreement).</t>
  </si>
  <si>
    <t>Regional energy cooperation is developing, which improves the relative readiness of a collective arrangement.</t>
  </si>
  <si>
    <t>Schouwen-Duiveland|Technical and operational readiness</t>
  </si>
  <si>
    <t>Case-specific regional adjustments and transparent score calculation</t>
  </si>
  <si>
    <t>Schouwen-Duiveland|Legal, contractual and policy embeddedness</t>
  </si>
  <si>
    <t>Regional adjustment</t>
  </si>
  <si>
    <t>Public evidence</t>
  </si>
  <si>
    <t>Evidence type</t>
  </si>
  <si>
    <t>Calculation key</t>
  </si>
  <si>
    <t>Base score</t>
  </si>
  <si>
    <t>Adjusted score</t>
  </si>
  <si>
    <t>Weighted contribution</t>
  </si>
  <si>
    <t>Schouwen-Duiveland|Financial attractiveness</t>
  </si>
  <si>
    <t>Base score unchanged for this case.</t>
  </si>
  <si>
    <t>Base TAPIR assessment</t>
  </si>
  <si>
    <t>Schouwen-Duiveland|Grid operator|Grid-operator life-cycle cost and investment effect|Conventional grid reinforcement</t>
  </si>
  <si>
    <t>Schouwen-Duiveland|Implementation speed and urgency fit</t>
  </si>
  <si>
    <t>Schouwen-Duiveland|Grid operator|Grid-operator life-cycle cost and investment effect|Battery + EMS</t>
  </si>
  <si>
    <t>Regional groups and municipal facilitation can reduce the coordination burden.</t>
  </si>
  <si>
    <t>Schouwen-Duiveland|Knowledge and organisational burden</t>
  </si>
  <si>
    <t>Schouwen-Duiveland|Grid operator|Grid-operator life-cycle cost and investment effect|Group Transport Agreement</t>
  </si>
  <si>
    <t>Existing cooperation reduces the dependency objection identified by participating companies.</t>
  </si>
  <si>
    <t>Schouwen-Duiveland|Autonomy and dependency</t>
  </si>
  <si>
    <t>Schouwen-Duiveland|Grid operator|Grid-operator life-cycle cost and investment effect|No additional intervention</t>
  </si>
  <si>
    <t>Schouwen-Duiveland|Sustainability, image and strategic risk</t>
  </si>
  <si>
    <t>Percentage-based grid assessment</t>
  </si>
  <si>
    <t>Schouwen-Duiveland|Grid operator|Timing, duration, reliability and predictability|Conventional grid reinforcement</t>
  </si>
  <si>
    <t>The measured ATC stress decreases from 94.8% to 88.3%, below the 90% threshold. | The measured ATC stress decreases from 94.8% to 89.1%, below the 90% threshold.</t>
  </si>
  <si>
    <t>Walcheren|Grid-operator life-cycle cost and investment effect</t>
  </si>
  <si>
    <t>Schouwen-Duiveland|Grid operator|Timing, duration, reliability and predictability|Battery + EMS</t>
  </si>
  <si>
    <t>The component is already constrained and reinforcement follows only after a bridge period. | The measured exceedance consists of short episodes, improving the fit of targeted storage dispatch. | Collective initiatives are at an early stage and are primarily focused on knowledge exchange.</t>
  </si>
  <si>
    <t>Walcheren|Timing, duration, reliability and predictability</t>
  </si>
  <si>
    <t>Schouwen-Duiveland|Grid operator|Timing, duration, reliability and predictability|Group Transport Agreement</t>
  </si>
  <si>
    <t>The battery test clears the 90% threshold during the available bridge period. | No intervention leaves the measured ATC stress at 94.8% throughout the bridge period.</t>
  </si>
  <si>
    <t>Walcheren|Speed and effect on reinforcement bridge gap</t>
  </si>
  <si>
    <t>Schouwen-Duiveland|Grid operator|Timing, duration, reliability and predictability|No additional intervention</t>
  </si>
  <si>
    <t>Several companies already operate batteries with an Energy Management System.</t>
  </si>
  <si>
    <t>Walcheren|Technical and operational readiness</t>
  </si>
  <si>
    <t>Schouwen-Duiveland|Grid operator|Speed and effect on reinforcement bridge gap|Conventional grid reinforcement</t>
  </si>
  <si>
    <t>Walcheren|Legal, contractual and policy embeddedness</t>
  </si>
  <si>
    <t>Schouwen-Duiveland|Grid operator|Speed and effect on reinforcement bridge gap|Battery + EMS</t>
  </si>
  <si>
    <t>Companies view the option more favourably where it is cost-neutral and delivers usable connection capacity. | The arrangement can reduce stress without requiring company-owned grid infrastructure.</t>
  </si>
  <si>
    <t>Walcheren|Financial attractiveness</t>
  </si>
  <si>
    <t>Schouwen-Duiveland|Grid operator|Speed and effect on reinforcement bridge gap|Group Transport Agreement</t>
  </si>
  <si>
    <t>The solution can be implemented within the bridge period.</t>
  </si>
  <si>
    <t>Walcheren|Implementation speed and urgency fit</t>
  </si>
  <si>
    <t>Schouwen-Duiveland|Grid operator|Speed and effect on reinforcement bridge gap|No additional intervention</t>
  </si>
  <si>
    <t>Battery and EMS operation is already established locally. | Collective implementation is company-led, placing coordination work on participating companies.</t>
  </si>
  <si>
    <t>Walcheren|Knowledge and organisational burden</t>
  </si>
  <si>
    <t>Schouwen-Duiveland|Grid operator|Technical and operational readiness|Conventional grid reinforcement</t>
  </si>
  <si>
    <t>Walcheren|Autonomy and dependency</t>
  </si>
  <si>
    <t>Schouwen-Duiveland|Grid operator|Technical and operational readiness|Battery + EMS</t>
  </si>
  <si>
    <t>Walcheren|Sustainability, image and strategic risk</t>
  </si>
  <si>
    <t>Schouwen-Duiveland|Grid operator|Technical and operational readiness|Group Transport Agreement</t>
  </si>
  <si>
    <t>The measured ATC stress decreases from 90.6% to 86.1%, below the 90% threshold. | The measured ATC stress decreases from 90.6% to 85.8%, below the 90% threshold.</t>
  </si>
  <si>
    <t>West-Zeeuws-Vlaanderen|Grid-operator life-cycle cost and investment effect</t>
  </si>
  <si>
    <t>Schouwen-Duiveland|Grid operator|Technical and operational readiness|No additional intervention</t>
  </si>
  <si>
    <t>The available intervention information is not attributable to the analysed component. | No operating collective arrangement is present and collective maturity is low.</t>
  </si>
  <si>
    <t>West-Zeeuws-Vlaanderen|Timing, duration, reliability and predictability</t>
  </si>
  <si>
    <t>Schouwen-Duiveland|Grid operator|Legal, contractual and policy embeddedness|Conventional grid reinforcement</t>
  </si>
  <si>
    <t>The measured test clears the threshold with a 3.9-percentage-point margin. | No intervention provides no relief while future coverage remains unresolved.</t>
  </si>
  <si>
    <t>West-Zeeuws-Vlaanderen|Speed and effect on reinforcement bridge gap</t>
  </si>
  <si>
    <t>Schouwen-Duiveland|Grid operator|Legal, contractual and policy embeddedness|Battery + EMS</t>
  </si>
  <si>
    <t>No operating collective flexibility arrangement is present in the case.</t>
  </si>
  <si>
    <t>West-Zeeuws-Vlaanderen|Technical and operational readiness</t>
  </si>
  <si>
    <t>Schouwen-Duiveland|Grid operator|Legal, contractual and policy embeddedness|Group Transport Agreement</t>
  </si>
  <si>
    <t>West-Zeeuws-Vlaanderen|Legal, contractual and policy embeddedness</t>
  </si>
  <si>
    <t>Schouwen-Duiveland|Grid operator|Legal, contractual and policy embeddedness|No additional intervention</t>
  </si>
  <si>
    <t>Batteries are already under consideration by companies in the case. | The arrangement can reduce stress without requiring company-owned grid infrastructure.</t>
  </si>
  <si>
    <t>West-Zeeuws-Vlaanderen|Financial attractiveness</t>
  </si>
  <si>
    <t>Schouwen-Duiveland|Company|Financial attractiveness|Conventional grid reinforcement</t>
  </si>
  <si>
    <t>The solution can be available before the unresolved reinforcement endpoint.</t>
  </si>
  <si>
    <t>West-Zeeuws-Vlaanderen|Implementation speed and urgency fit</t>
  </si>
  <si>
    <t>Schouwen-Duiveland|Company|Financial attractiveness|Battery + EMS</t>
  </si>
  <si>
    <t>New cooperation and governance would need to be created.</t>
  </si>
  <si>
    <t>West-Zeeuws-Vlaanderen|Knowledge and organisational burden</t>
  </si>
  <si>
    <t>Schouwen-Duiveland|Company|Financial attractiveness|Group Transport Agreement</t>
  </si>
  <si>
    <t>Central company decision structures increase dependency in a collective arrangement.</t>
  </si>
  <si>
    <t>West-Zeeuws-Vlaanderen|Autonomy and dependency</t>
  </si>
  <si>
    <t>Schouwen-Duiveland|Company|Financial attractiveness|No additional intervention</t>
  </si>
  <si>
    <t>West-Zeeuws-Vlaanderen|Sustainability, image and strategic risk</t>
  </si>
  <si>
    <t>Schouwen-Duiveland|Company|Implementation speed and urgency fit|Conventional grid reinforcement</t>
  </si>
  <si>
    <t>Schouwen-Duiveland|Company|Implementation speed and urgency fit|Battery + EMS</t>
  </si>
  <si>
    <t>Schouwen-Duiveland|Company|Implementation speed and urgency fit|Group Transport Agreement</t>
  </si>
  <si>
    <t>Scoring rules</t>
  </si>
  <si>
    <t>Schouwen-Duiveland|Company|Implementation speed and urgency fit|No additional intervention</t>
  </si>
  <si>
    <t>Regional adjustment: −0.5, 0 or +0.5; editable in yellow cells.</t>
  </si>
  <si>
    <t>Schouwen-Duiveland|Company|Knowledge and organisational burden|Conventional grid reinforcement</t>
  </si>
  <si>
    <t>Adjusted score: MAX(1, MIN(5, base score + regional adjustment)).</t>
  </si>
  <si>
    <t>Schouwen-Duiveland|Company|Knowledge and organisational burden|Battery + EMS</t>
  </si>
  <si>
    <t>Actor score: weighted average of the five actor-specific criteria.</t>
  </si>
  <si>
    <t>Schouwen-Duiveland|Company|Knowledge and organisational burden|Group Transport Agreement</t>
  </si>
  <si>
    <t>Overall score: equal average of the grid-operator and company scores.</t>
  </si>
  <si>
    <t>Schouwen-Duiveland|Company|Knowledge and organisational burden|No additional intervention</t>
  </si>
  <si>
    <t>Response options are the umbrella decision set; battery + EMS and the Group Transport Agreement are the flexibility-solution subset.</t>
  </si>
  <si>
    <t>Schouwen-Duiveland|Company|Autonomy and dependency|Conventional grid reinforcement</t>
  </si>
  <si>
    <t>Schouwen-Duiveland|Company|Autonomy and dependency|Battery + EMS</t>
  </si>
  <si>
    <t>Schouwen-Duiveland|Company|Autonomy and dependency|Group Transport Agreement</t>
  </si>
  <si>
    <t>Schouwen-Duiveland|Company|Autonomy and dependency|No additional intervention</t>
  </si>
  <si>
    <t>Schouwen-Duiveland|Company|Sustainability, image and strategic risk|Conventional grid reinforcement</t>
  </si>
  <si>
    <t>Schouwen-Duiveland|Company|Sustainability, image and strategic risk|Battery + EMS</t>
  </si>
  <si>
    <t>Schouwen-Duiveland|Company|Sustainability, image and strategic risk|Group Transport Agreement</t>
  </si>
  <si>
    <t>Schouwen-Duiveland|Company|Sustainability, image and strategic risk|No additional intervention</t>
  </si>
  <si>
    <t>Walcheren|Grid operator|Grid-operator life-cycle cost and investment effect|Conventional grid reinforcement</t>
  </si>
  <si>
    <t>The measured ATC stress decreases from 94.8% to 88.3%, below the 90% threshold.</t>
  </si>
  <si>
    <t>Walcheren|Grid operator|Grid-operator life-cycle cost and investment effect|Battery + EMS</t>
  </si>
  <si>
    <t>The measured ATC stress decreases from 94.8% to 89.1%, below the 90% threshold.</t>
  </si>
  <si>
    <t>Walcheren|Grid operator|Grid-operator life-cycle cost and investment effect|Group Transport Agreement</t>
  </si>
  <si>
    <t>Walcheren|Grid operator|Grid-operator life-cycle cost and investment effect|No additional intervention</t>
  </si>
  <si>
    <t>The component is already constrained and reinforcement follows only after a bridge period.</t>
  </si>
  <si>
    <t>Public timing summary</t>
  </si>
  <si>
    <t>Walcheren|Grid operator|Timing, duration, reliability and predictability|Conventional grid reinforcement</t>
  </si>
  <si>
    <t>The measured exceedance consists of short episodes, improving the fit of targeted storage dispatch.</t>
  </si>
  <si>
    <t>Walcheren|Grid operator|Timing, duration, reliability and predictability|Battery + EMS</t>
  </si>
  <si>
    <t>Collective initiatives are at an early stage and are primarily focused on knowledge exchange.</t>
  </si>
  <si>
    <t>Walcheren|Grid operator|Timing, duration, reliability and predictability|Group Transport Agreement</t>
  </si>
  <si>
    <t>Walcheren|Grid operator|Timing, duration, reliability and predictability|No additional intervention</t>
  </si>
  <si>
    <t>Walcheren|Grid operator|Speed and effect on reinforcement bridge gap|Conventional grid reinforcement</t>
  </si>
  <si>
    <t>The battery test clears the 90% threshold during the available bridge period.</t>
  </si>
  <si>
    <t>Walcheren|Grid operator|Speed and effect on reinforcement bridge gap|Battery + EMS</t>
  </si>
  <si>
    <t>Walcheren|Grid operator|Speed and effect on reinforcement bridge gap|Group Transport Agreement</t>
  </si>
  <si>
    <t>No intervention leaves the measured ATC stress at 94.8% throughout the bridge period.</t>
  </si>
  <si>
    <t>Walcheren|Grid operator|Speed and effect on reinforcement bridge gap|No additional intervention</t>
  </si>
  <si>
    <t>Walcheren|Grid operator|Technical and operational readiness|Conventional grid reinforcement</t>
  </si>
  <si>
    <t>Walcheren|Grid operator|Technical and operational readiness|Battery + EMS</t>
  </si>
  <si>
    <t>Walcheren|Grid operator|Technical and operational readiness|Group Transport Agreement</t>
  </si>
  <si>
    <t>Walcheren|Grid operator|Technical and operational readiness|No additional intervention</t>
  </si>
  <si>
    <t>Walcheren|Grid operator|Legal, contractual and policy embeddedness|Conventional grid reinforcement</t>
  </si>
  <si>
    <t>Walcheren|Grid operator|Legal, contractual and policy embeddedness|Battery + EMS</t>
  </si>
  <si>
    <t>Walcheren|Grid operator|Legal, contractual and policy embeddedness|Group Transport Agreement</t>
  </si>
  <si>
    <t>Walcheren|Grid operator|Legal, contractual and policy embeddedness|No additional intervention</t>
  </si>
  <si>
    <t>Walcheren|Company|Financial attractiveness|Conventional grid reinforcement</t>
  </si>
  <si>
    <t>Companies view the option more favourably where it is cost-neutral and delivers usable connection capacity.</t>
  </si>
  <si>
    <t>Walcheren|Company|Financial attractiveness|Battery + EMS</t>
  </si>
  <si>
    <t>The arrangement can reduce stress without requiring company-owned grid infrastructure.</t>
  </si>
  <si>
    <t>Interview synthesis + percentage assessment</t>
  </si>
  <si>
    <t>Walcheren|Company|Financial attractiveness|Group Transport Agreement</t>
  </si>
  <si>
    <t>Walcheren|Company|Financial attractiveness|No additional intervention</t>
  </si>
  <si>
    <t>Walcheren|Company|Implementation speed and urgency fit|Conventional grid reinforcement</t>
  </si>
  <si>
    <t>Walcheren|Company|Implementation speed and urgency fit|Battery + EMS</t>
  </si>
  <si>
    <t>Walcheren|Company|Implementation speed and urgency fit|Group Transport Agreement</t>
  </si>
  <si>
    <t>Walcheren|Company|Implementation speed and urgency fit|No additional intervention</t>
  </si>
  <si>
    <t>Walcheren|Company|Knowledge and organisational burden|Conventional grid reinforcement</t>
  </si>
  <si>
    <t>Battery and EMS operation is already established locally.</t>
  </si>
  <si>
    <t>Walcheren|Company|Knowledge and organisational burden|Battery + EMS</t>
  </si>
  <si>
    <t>Collective implementation is company-led, placing coordination work on participating companies.</t>
  </si>
  <si>
    <t>Walcheren|Company|Knowledge and organisational burden|Group Transport Agreement</t>
  </si>
  <si>
    <t>Walcheren|Company|Knowledge and organisational burden|No additional intervention</t>
  </si>
  <si>
    <t>Walcheren|Company|Autonomy and dependency|Conventional grid reinforcement</t>
  </si>
  <si>
    <t>Walcheren|Company|Autonomy and dependency|Battery + EMS</t>
  </si>
  <si>
    <t>Walcheren|Company|Autonomy and dependency|Group Transport Agreement</t>
  </si>
  <si>
    <t>Walcheren|Company|Autonomy and dependency|No additional intervention</t>
  </si>
  <si>
    <t>Walcheren|Company|Sustainability, image and strategic risk|Conventional grid reinforcement</t>
  </si>
  <si>
    <t>Walcheren|Company|Sustainability, image and strategic risk|Battery + EMS</t>
  </si>
  <si>
    <t>Walcheren|Company|Sustainability, image and strategic risk|Group Transport Agreement</t>
  </si>
  <si>
    <t>Walcheren|Company|Sustainability, image and strategic risk|No additional intervention</t>
  </si>
  <si>
    <t>West-Zeeuws-Vlaanderen|Grid operator|Grid-operator life-cycle cost and investment effect|Conventional grid reinforcement</t>
  </si>
  <si>
    <t>The measured ATC stress decreases from 90.6% to 86.1%, below the 90% threshold.</t>
  </si>
  <si>
    <t>West-Zeeuws-Vlaanderen|Grid operator|Grid-operator life-cycle cost and investment effect|Battery + EMS</t>
  </si>
  <si>
    <t>The measured ATC stress decreases from 90.6% to 85.8%, below the 90% threshold.</t>
  </si>
  <si>
    <t>West-Zeeuws-Vlaanderen|Grid operator|Grid-operator life-cycle cost and investment effect|Group Transport Agreement</t>
  </si>
  <si>
    <t>West-Zeeuws-Vlaanderen|Grid operator|Grid-operator life-cycle cost and investment effect|No additional intervention</t>
  </si>
  <si>
    <t>The available intervention information is not attributable to the analysed component.</t>
  </si>
  <si>
    <t>Public uncertainty summary</t>
  </si>
  <si>
    <t>West-Zeeuws-Vlaanderen|Grid operator|Timing, duration, reliability and predictability|Conventional grid reinforcement</t>
  </si>
  <si>
    <t>West-Zeeuws-Vlaanderen|Grid operator|Timing, duration, reliability and predictability|Battery + EMS</t>
  </si>
  <si>
    <t>No operating collective arrangement is present and collective maturity is low.</t>
  </si>
  <si>
    <t>West-Zeeuws-Vlaanderen|Grid operator|Timing, duration, reliability and predictability|Group Transport Agreement</t>
  </si>
  <si>
    <t>West-Zeeuws-Vlaanderen|Grid operator|Timing, duration, reliability and predictability|No additional intervention</t>
  </si>
  <si>
    <t>West-Zeeuws-Vlaanderen|Grid operator|Speed and effect on reinforcement bridge gap|Conventional grid reinforcement</t>
  </si>
  <si>
    <t>The measured test clears the threshold with a 3.9-percentage-point margin.</t>
  </si>
  <si>
    <t>West-Zeeuws-Vlaanderen|Grid operator|Speed and effect on reinforcement bridge gap|Battery + EMS</t>
  </si>
  <si>
    <t>West-Zeeuws-Vlaanderen|Grid operator|Speed and effect on reinforcement bridge gap|Group Transport Agreement</t>
  </si>
  <si>
    <t>No intervention provides no relief while future coverage remains unresolved.</t>
  </si>
  <si>
    <t>West-Zeeuws-Vlaanderen|Grid operator|Speed and effect on reinforcement bridge gap|No additional intervention</t>
  </si>
  <si>
    <t>West-Zeeuws-Vlaanderen|Grid operator|Technical and operational readiness|Conventional grid reinforcement</t>
  </si>
  <si>
    <t>West-Zeeuws-Vlaanderen|Grid operator|Technical and operational readiness|Battery + EMS</t>
  </si>
  <si>
    <t>West-Zeeuws-Vlaanderen|Grid operator|Technical and operational readiness|Group Transport Agreement</t>
  </si>
  <si>
    <t>West-Zeeuws-Vlaanderen|Grid operator|Technical and operational readiness|No additional intervention</t>
  </si>
  <si>
    <t>West-Zeeuws-Vlaanderen|Grid operator|Legal, contractual and policy embeddedness|Conventional grid reinforcement</t>
  </si>
  <si>
    <t>West-Zeeuws-Vlaanderen|Grid operator|Legal, contractual and policy embeddedness|Battery + EMS</t>
  </si>
  <si>
    <t>West-Zeeuws-Vlaanderen|Grid operator|Legal, contractual and policy embeddedness|Group Transport Agreement</t>
  </si>
  <si>
    <t>West-Zeeuws-Vlaanderen|Grid operator|Legal, contractual and policy embeddedness|No additional intervention</t>
  </si>
  <si>
    <t>West-Zeeuws-Vlaanderen|Company|Financial attractiveness|Conventional grid reinforcement</t>
  </si>
  <si>
    <t>Batteries are already under consideration by companies in the case.</t>
  </si>
  <si>
    <t>West-Zeeuws-Vlaanderen|Company|Financial attractiveness|Battery + EMS</t>
  </si>
  <si>
    <t>West-Zeeuws-Vlaanderen|Company|Financial attractiveness|Group Transport Agreement</t>
  </si>
  <si>
    <t>West-Zeeuws-Vlaanderen|Company|Financial attractiveness|No additional intervention</t>
  </si>
  <si>
    <t>West-Zeeuws-Vlaanderen|Company|Implementation speed and urgency fit|Conventional grid reinforcement</t>
  </si>
  <si>
    <t>West-Zeeuws-Vlaanderen|Company|Implementation speed and urgency fit|Battery + EMS</t>
  </si>
  <si>
    <t>West-Zeeuws-Vlaanderen|Company|Implementation speed and urgency fit|Group Transport Agreement</t>
  </si>
  <si>
    <t>West-Zeeuws-Vlaanderen|Company|Implementation speed and urgency fit|No additional intervention</t>
  </si>
  <si>
    <t>West-Zeeuws-Vlaanderen|Company|Knowledge and organisational burden|Conventional grid reinforcement</t>
  </si>
  <si>
    <t>West-Zeeuws-Vlaanderen|Company|Knowledge and organisational burden|Battery + EMS</t>
  </si>
  <si>
    <t>West-Zeeuws-Vlaanderen|Company|Knowledge and organisational burden|Group Transport Agreement</t>
  </si>
  <si>
    <t>West-Zeeuws-Vlaanderen|Company|Knowledge and organisational burden|No additional intervention</t>
  </si>
  <si>
    <t>West-Zeeuws-Vlaanderen|Company|Autonomy and dependency|Conventional grid reinforcement</t>
  </si>
  <si>
    <t>West-Zeeuws-Vlaanderen|Company|Autonomy and dependency|Battery + EMS</t>
  </si>
  <si>
    <t>West-Zeeuws-Vlaanderen|Company|Autonomy and dependency|Group Transport Agreement</t>
  </si>
  <si>
    <t>West-Zeeuws-Vlaanderen|Company|Autonomy and dependency|No additional intervention</t>
  </si>
  <si>
    <t>West-Zeeuws-Vlaanderen|Company|Sustainability, image and strategic risk|Conventional grid reinforcement</t>
  </si>
  <si>
    <t>West-Zeeuws-Vlaanderen|Company|Sustainability, image and strategic risk|Battery + EMS</t>
  </si>
  <si>
    <t>West-Zeeuws-Vlaanderen|Company|Sustainability, image and strategic risk|Group Transport Agreement</t>
  </si>
  <si>
    <t>West-Zeeuws-Vlaanderen|Company|Sustainability, image and strategic risk|No additional intervention</t>
  </si>
  <si>
    <t>Read Me — Public TAPIR Decision-Support Tool</t>
  </si>
  <si>
    <t>This clean public workbook preserves the decision-support logic while removing confidential grid-operator asset and load information.</t>
  </si>
  <si>
    <t>How to use</t>
  </si>
  <si>
    <t>1. Open the Public Tool sheet and select one of the three case regions in the yellow case selector.</t>
  </si>
  <si>
    <t>2. Review the four response-option scores (one decimal place in every case), the compact village and two-station context block, and the criterion-level evidence., the public village demand indicators, the percentage-only load indicators for the two station levels and the case-specific evidence.</t>
  </si>
  <si>
    <t>3. If sensitivity testing is required, edit only the yellow weight, base-score and regional-adjustment cells on Public Inputs.</t>
  </si>
  <si>
    <t>Terminology used</t>
  </si>
  <si>
    <t>Response option is the umbrella term for the alternatives assessed by the tool: conventional grid reinforcement, battery + EMS, Group Transport Agreement and no additional intervention.</t>
  </si>
  <si>
    <t>Flexibility solutions are the response-option subset that uses demand, generation or storage flexibility within available grid capacity: battery + EMS and the Group Transport Agreement.</t>
  </si>
  <si>
    <t>Grid reinforcement is not a flexibility solution. No additional intervention is the reference response option.</t>
  </si>
  <si>
    <t>Public anonymisation applied</t>
  </si>
  <si>
    <t>The three village names have been replaced by the non-identifying labels Village 1, Village 2 and Village 3, but the measured village demand indicators themselves are public and are shown in full.</t>
  </si>
  <si>
    <t>All station names, abbreviations, codes, addresses and connected-asset identifiers have been removed and replaced by generic grid-component descriptions.</t>
  </si>
  <si>
    <t>All absolute station load, capacity and relief values have been removed. Station stress is published only as a percentage of available transport capacity (ATC), for the 2025 and 2031 reference years, together with the first constraint year, the critical hours at or above 90% and the holiday share of those hours.</t>
  </si>
  <si>
    <t>Exact reinforcement costs, capacities and dates, internal source filenames and recoverable raw-data tables have been removed.</t>
  </si>
  <si>
    <t>The workbook has no hidden worksheets, external links, charts linked to confidential data or embedded source files.</t>
  </si>
  <si>
    <t>Evidence retained</t>
  </si>
  <si>
    <t>General case findings from the thesis and interviews are retained where they explain maturity, coordination, authority, organisational burden and company preferences.</t>
  </si>
  <si>
    <t>Grid evidence is retained only in normalised percentage form and is labelled as measured, forecast or uncertain.</t>
  </si>
  <si>
    <t>Grid evidence is retained only in normalised percentage form and is labelled as measured, forecast or unresolved. Village demand evidence is retained in full because it is not confidential.</t>
  </si>
  <si>
    <t>Limitations</t>
  </si>
  <si>
    <t>The public percentages support comparison but cannot reproduce the grid operator's internal calculations because the absolute source data have deliberately been removed.</t>
  </si>
  <si>
    <t>A preferred response option is a decision-support result, not an automatic investment decision. Local engineering validation, legal assessment and actor agreement remain necessary.</t>
  </si>
  <si>
    <t>Flexibility may complement reinforcement or bridge a period until reinforcement is completed; it is not presumed to substitute for physical capacity expansion.</t>
  </si>
  <si>
    <t>Source basis: thesis Chapters 5–8, thesis case documents and the interview evidence already used in the thesis. Public release prepared without absolute grid-operator load or asset data.</t>
  </si>
  <si>
    <t>Main Distribution Station level</t>
  </si>
  <si>
    <t xml:space="preserve">Grid level </t>
  </si>
  <si>
    <t>Stedin</t>
  </si>
  <si>
    <t>&gt;100%</t>
  </si>
  <si>
    <t>KPI / evidence applied</t>
  </si>
  <si>
    <t>Case specific adjustments</t>
  </si>
  <si>
    <t>Select a case to see the preferred pathway, actor scores and the essential evidence at a glance</t>
  </si>
  <si>
    <t>Reinforcement investment cost (EUR), identified flexibility cost and years of deferred reinforcement investment; no complete discounted life-cycle cost</t>
  </si>
  <si>
    <t>Critical hours, holiday overlap, availability, asset life</t>
  </si>
  <si>
    <t>Constraint year, reinforcement year, bridge period, station peak relief, ATC &lt;= 0.90 and years actually bridged</t>
  </si>
  <si>
    <t>Battery/EMS installed, control systems, GTO status</t>
  </si>
  <si>
    <t>Legal status, agreements, connection conditions, policy alignment</t>
  </si>
  <si>
    <t>Cost, annual benefit, payback, grid charges, GTO compensation</t>
  </si>
  <si>
    <t>Constraint year, reinforcement date, case-specific lead time and availability before the constraint</t>
  </si>
  <si>
    <t>Advice needed, actors involved, management time, coordination</t>
  </si>
  <si>
    <t>Asset control, dependence on others, collective decisions</t>
  </si>
  <si>
    <t>Electrification, PV and storage use, policy and strategy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</si>
</sst>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0.0"/>
    <numFmt numFmtId="168" formatCode="#,##0.0&quot; kWh/day&quot;"/>
    <numFmt numFmtId="169" formatCode="#,##0.0&quot; kW&quot;"/>
    <numFmt numFmtId="170" formatCode="0.0&quot; / 5&quot;"/>
  </numFmts>
  <fonts count="34">
    <font>
      <sz val="11"/>
      <name val="Carlito"/>
    </font>
    <font>
      <b/>
      <sz val="18"/>
      <color rgb="FFFFFFFF"/>
      <name val="Carlito"/>
    </font>
    <font>
      <b/>
      <sz val="12"/>
      <color rgb="FFFFFFFF"/>
      <name val="Carlito"/>
    </font>
    <font>
      <b/>
      <sz val="11"/>
      <color rgb="FFFFFFFF"/>
      <name val="Carlito"/>
    </font>
    <font>
      <i/>
      <sz val="12"/>
      <color rgb="FF173A56"/>
      <name val="Carlito"/>
    </font>
    <font>
      <b/>
      <sz val="14"/>
      <color rgb="FF173A56"/>
      <name val="Carlito"/>
    </font>
    <font>
      <sz val="11"/>
      <color rgb="FF263746"/>
      <name val="Calibri"/>
      <family val="2"/>
    </font>
    <font>
      <sz val="12"/>
      <color rgb="FF263746"/>
      <name val="Calibri"/>
      <family val="2"/>
    </font>
    <font>
      <sz val="11"/>
      <name val="Calibri"/>
      <family val="2"/>
    </font>
    <font>
      <sz val="12"/>
      <name val="Calibri"/>
      <family val="2"/>
    </font>
    <font>
      <i/>
      <sz val="11"/>
      <color rgb="FF173A56"/>
      <name val="Calibri"/>
      <family val="2"/>
    </font>
    <font>
      <b/>
      <sz val="12"/>
      <color rgb="FFFFFFFF"/>
      <name val="Calibri"/>
      <family val="2"/>
    </font>
    <font>
      <b/>
      <sz val="10"/>
      <color rgb="FF263746"/>
      <name val="Carlito"/>
    </font>
    <font>
      <sz val="10"/>
      <color rgb="FF263746"/>
      <name val="Carlito"/>
    </font>
    <font>
      <b/>
      <sz val="11"/>
      <color rgb="FFFFFFFF"/>
      <name val="Carlito"/>
    </font>
    <font>
      <b/>
      <sz val="18"/>
      <color rgb="FFFFFFFF"/>
      <name val="Carlito"/>
    </font>
    <font>
      <b/>
      <sz val="14"/>
      <color rgb="FFFFFFFF"/>
      <name val="Carlito"/>
    </font>
    <font>
      <b/>
      <sz val="16"/>
      <color rgb="FFFFFFFF"/>
      <name val="Carlito"/>
    </font>
    <font>
      <b/>
      <sz val="12"/>
      <color rgb="FFFFFFFF"/>
      <name val="Carlito"/>
    </font>
    <font>
      <b/>
      <sz val="16"/>
      <color rgb="FF2F8A5B"/>
      <name val="Carlito"/>
    </font>
    <font>
      <b/>
      <sz val="13"/>
      <color rgb="FF263746"/>
      <name val="Carlito"/>
    </font>
    <font>
      <b/>
      <sz val="14"/>
      <color rgb="FFFFFFFF"/>
      <name val="Calibri"/>
      <family val="2"/>
    </font>
    <font>
      <sz val="14"/>
      <name val="Calibri"/>
      <family val="2"/>
    </font>
    <font>
      <sz val="14"/>
      <color rgb="FF263746"/>
      <name val="Calibri"/>
      <family val="2"/>
    </font>
    <font>
      <b/>
      <sz val="16"/>
      <color rgb="FFFFFFFF"/>
      <name val="Calibri"/>
      <family val="2"/>
    </font>
    <font>
      <sz val="16"/>
      <name val="Calibri"/>
      <family val="2"/>
    </font>
    <font>
      <b/>
      <sz val="14"/>
      <color rgb="FF263746"/>
      <name val="Calibri"/>
      <family val="2"/>
    </font>
    <font>
      <b/>
      <sz val="14"/>
      <color rgb="FF173A56"/>
      <name val="Calibri"/>
      <family val="2"/>
    </font>
    <font>
      <sz val="14"/>
      <color rgb="FF173A56"/>
      <name val="Calibri"/>
      <family val="2"/>
    </font>
    <font>
      <b/>
      <sz val="14"/>
      <color rgb="FFFFFFFF"/>
      <name val="Aptos"/>
    </font>
    <font>
      <sz val="14"/>
      <color rgb="FF1F2933"/>
      <name val="Calibri"/>
      <family val="2"/>
    </font>
    <font>
      <sz val="14"/>
      <name val="Aptos"/>
    </font>
    <font>
      <i/>
      <sz val="12"/>
      <color theme="2" tint="-0.499984740745262"/>
      <name val="Calibri"/>
      <family val="2"/>
    </font>
    <font>
      <i/>
      <sz val="11"/>
      <color theme="2" tint="-0.499984740745262"/>
      <name val="Calibri"/>
      <family val="2"/>
    </font>
  </fonts>
  <fills count="17">
    <fill>
      <patternFill patternType="none"/>
    </fill>
    <fill>
      <patternFill patternType="gray125"/>
    </fill>
    <fill>
      <patternFill patternType="solid">
        <fgColor rgb="FF173A56"/>
      </patternFill>
    </fill>
    <fill>
      <patternFill patternType="solid">
        <fgColor rgb="FFE7F2F7"/>
      </patternFill>
    </fill>
    <fill>
      <patternFill patternType="solid">
        <fgColor rgb="FF2F8A5B"/>
      </patternFill>
    </fill>
    <fill>
      <patternFill patternType="solid">
        <fgColor rgb="FF244F6B"/>
      </patternFill>
    </fill>
    <fill>
      <patternFill patternType="solid">
        <fgColor rgb="FFFFF9E6"/>
      </patternFill>
    </fill>
    <fill>
      <patternFill patternType="solid">
        <fgColor rgb="FFFFF2CC"/>
      </patternFill>
    </fill>
    <fill>
      <patternFill patternType="solid">
        <fgColor rgb="FFEEF2F5"/>
      </patternFill>
    </fill>
    <fill>
      <patternFill patternType="solid">
        <fgColor rgb="FF2E879C"/>
      </patternFill>
    </fill>
    <fill>
      <patternFill patternType="solid">
        <fgColor rgb="FFD97706"/>
      </patternFill>
    </fill>
    <fill>
      <patternFill patternType="solid">
        <fgColor rgb="FFE6F3EA"/>
      </patternFill>
    </fill>
    <fill>
      <patternFill patternType="solid">
        <fgColor rgb="FFFFFFFF"/>
      </patternFill>
    </fill>
    <fill>
      <patternFill patternType="solid">
        <fgColor theme="6" tint="0.79998168889431442"/>
        <bgColor indexed="64"/>
      </patternFill>
    </fill>
    <fill>
      <patternFill patternType="solid">
        <fgColor theme="5" tint="0.79998168889431442"/>
        <bgColor indexed="64"/>
      </patternFill>
    </fill>
    <fill>
      <patternFill patternType="solid">
        <fgColor rgb="FF244A66"/>
      </patternFill>
    </fill>
    <fill>
      <patternFill patternType="solid">
        <fgColor theme="7" tint="0.79998168889431442"/>
        <bgColor indexed="64"/>
      </patternFill>
    </fill>
  </fills>
  <borders count="10">
    <border>
      <left/>
      <right/>
      <top/>
      <bottom/>
      <diagonal/>
    </border>
    <border>
      <left style="thin">
        <color rgb="FFD5DEE5"/>
      </left>
      <right style="thin">
        <color rgb="FFD5DEE5"/>
      </right>
      <top style="thin">
        <color rgb="FFD5DEE5"/>
      </top>
      <bottom style="thin">
        <color rgb="FFD5DEE5"/>
      </bottom>
      <diagonal/>
    </border>
    <border>
      <left/>
      <right/>
      <top style="thin">
        <color rgb="FFD5DEE5"/>
      </top>
      <bottom style="thin">
        <color rgb="FFD5DEE5"/>
      </bottom>
      <diagonal/>
    </border>
    <border>
      <left/>
      <right style="thin">
        <color rgb="FFD5DEE5"/>
      </right>
      <top style="thin">
        <color rgb="FFD5DEE5"/>
      </top>
      <bottom style="thin">
        <color rgb="FFD5DEE5"/>
      </bottom>
      <diagonal/>
    </border>
    <border>
      <left style="thin">
        <color rgb="FFB9C6D0"/>
      </left>
      <right style="thin">
        <color rgb="FFB9C6D0"/>
      </right>
      <top style="thin">
        <color rgb="FFB9C6D0"/>
      </top>
      <bottom style="thin">
        <color rgb="FFB9C6D0"/>
      </bottom>
      <diagonal/>
    </border>
    <border>
      <left style="thin">
        <color rgb="FFD8DEE4"/>
      </left>
      <right style="thin">
        <color rgb="FFD8DEE4"/>
      </right>
      <top style="medium">
        <color rgb="FF2F855A"/>
      </top>
      <bottom style="thin">
        <color rgb="FFD8DEE4"/>
      </bottom>
      <diagonal/>
    </border>
    <border>
      <left/>
      <right style="thin">
        <color rgb="FFD8DEE4"/>
      </right>
      <top style="medium">
        <color rgb="FF2F855A"/>
      </top>
      <bottom style="thin">
        <color rgb="FFD8DEE4"/>
      </bottom>
      <diagonal/>
    </border>
    <border>
      <left style="thin">
        <color rgb="FFD8DEE4"/>
      </left>
      <right style="thin">
        <color rgb="FFD8DEE4"/>
      </right>
      <top style="thin">
        <color rgb="FFD8DEE4"/>
      </top>
      <bottom style="thin">
        <color rgb="FFD8DEE4"/>
      </bottom>
      <diagonal/>
    </border>
    <border>
      <left/>
      <right style="thin">
        <color rgb="FFD8DEE4"/>
      </right>
      <top style="thin">
        <color rgb="FFD8DEE4"/>
      </top>
      <bottom style="thin">
        <color rgb="FFD8DEE4"/>
      </bottom>
      <diagonal/>
    </border>
    <border>
      <left style="thin">
        <color rgb="FFB9C6D0"/>
      </left>
      <right/>
      <top/>
      <bottom/>
      <diagonal/>
    </border>
  </borders>
  <cellStyleXfs count="1">
    <xf numFmtId="0" fontId="0" fillId="0" borderId="0"/>
  </cellStyleXfs>
  <cellXfs count="105">
    <xf numFmtId="0" fontId="0" fillId="0" borderId="0" xfId="0"/>
    <xf numFmtId="0" fontId="3" fillId="5" borderId="1" xfId="0" applyFont="1" applyFill="1" applyBorder="1" applyAlignment="1">
      <alignment horizontal="center" vertical="center" wrapText="1"/>
    </xf>
    <xf numFmtId="0" fontId="0" fillId="0" borderId="0" xfId="0" applyAlignment="1">
      <alignment vertical="top"/>
    </xf>
    <xf numFmtId="0" fontId="3" fillId="5" borderId="1" xfId="0" applyFont="1" applyFill="1" applyBorder="1" applyAlignment="1">
      <alignment horizontal="center" vertical="top" wrapText="1"/>
    </xf>
    <xf numFmtId="0" fontId="7" fillId="0" borderId="1" xfId="0" applyFont="1" applyBorder="1" applyAlignment="1">
      <alignment vertical="center" wrapText="1"/>
    </xf>
    <xf numFmtId="0" fontId="8" fillId="0" borderId="0" xfId="0" applyFont="1"/>
    <xf numFmtId="0" fontId="7" fillId="3" borderId="1" xfId="0" applyFont="1" applyFill="1" applyBorder="1" applyAlignment="1">
      <alignment vertical="top" wrapText="1"/>
    </xf>
    <xf numFmtId="0" fontId="9" fillId="0" borderId="0" xfId="0" applyFont="1"/>
    <xf numFmtId="0" fontId="6" fillId="3" borderId="1" xfId="0" applyFont="1" applyFill="1" applyBorder="1" applyAlignment="1">
      <alignment vertical="center" wrapText="1"/>
    </xf>
    <xf numFmtId="9" fontId="6" fillId="7" borderId="1" xfId="0" applyNumberFormat="1" applyFont="1" applyFill="1" applyBorder="1" applyAlignment="1">
      <alignment vertical="center" wrapText="1"/>
    </xf>
    <xf numFmtId="0" fontId="6" fillId="0" borderId="1" xfId="0" applyFont="1" applyBorder="1" applyAlignment="1">
      <alignment vertical="center" wrapText="1"/>
    </xf>
    <xf numFmtId="0" fontId="6" fillId="6" borderId="1" xfId="0" applyFont="1" applyFill="1" applyBorder="1" applyAlignment="1">
      <alignment vertical="center" wrapText="1"/>
    </xf>
    <xf numFmtId="0" fontId="6" fillId="8" borderId="1" xfId="0" applyFont="1" applyFill="1" applyBorder="1" applyAlignment="1">
      <alignment vertical="center" wrapText="1"/>
    </xf>
    <xf numFmtId="9" fontId="6" fillId="8" borderId="1" xfId="0" applyNumberFormat="1" applyFont="1" applyFill="1" applyBorder="1" applyAlignment="1">
      <alignment vertical="center" wrapText="1"/>
    </xf>
    <xf numFmtId="164" fontId="6" fillId="7" borderId="1" xfId="0" applyNumberFormat="1" applyFont="1" applyFill="1" applyBorder="1" applyAlignment="1">
      <alignment horizontal="center" vertical="center" wrapText="1"/>
    </xf>
    <xf numFmtId="0" fontId="7" fillId="3" borderId="1" xfId="0" applyFont="1" applyFill="1" applyBorder="1" applyAlignment="1">
      <alignment vertical="center" wrapText="1"/>
    </xf>
    <xf numFmtId="0" fontId="7" fillId="3" borderId="1" xfId="0"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0" fontId="6" fillId="0" borderId="1" xfId="0" applyFont="1" applyBorder="1" applyAlignment="1">
      <alignment vertical="top" wrapText="1"/>
    </xf>
    <xf numFmtId="164" fontId="6" fillId="0" borderId="1" xfId="0" applyNumberFormat="1" applyFont="1" applyBorder="1" applyAlignment="1">
      <alignment vertical="center" wrapText="1"/>
    </xf>
    <xf numFmtId="9" fontId="6" fillId="0" borderId="1" xfId="0" applyNumberFormat="1" applyFont="1" applyBorder="1" applyAlignment="1">
      <alignment vertical="center" wrapText="1"/>
    </xf>
    <xf numFmtId="166" fontId="6" fillId="0" borderId="1" xfId="0" applyNumberFormat="1" applyFont="1" applyBorder="1" applyAlignment="1">
      <alignment vertical="center" wrapText="1"/>
    </xf>
    <xf numFmtId="167" fontId="6" fillId="7" borderId="1" xfId="0" applyNumberFormat="1" applyFont="1" applyFill="1" applyBorder="1" applyAlignment="1">
      <alignment horizontal="center" vertical="center" wrapText="1"/>
    </xf>
    <xf numFmtId="0" fontId="14" fillId="9" borderId="0" xfId="0" applyFont="1" applyFill="1"/>
    <xf numFmtId="0" fontId="12" fillId="3" borderId="4" xfId="0" applyFont="1" applyFill="1" applyBorder="1" applyAlignment="1">
      <alignment vertical="center" wrapText="1"/>
    </xf>
    <xf numFmtId="0" fontId="13" fillId="0" borderId="4" xfId="0" applyFont="1" applyBorder="1" applyAlignment="1">
      <alignment vertical="top" wrapText="1"/>
    </xf>
    <xf numFmtId="168" fontId="13" fillId="0" borderId="4" xfId="0" applyNumberFormat="1" applyFont="1" applyBorder="1" applyAlignment="1">
      <alignment vertical="top" wrapText="1"/>
    </xf>
    <xf numFmtId="169" fontId="13" fillId="0" borderId="4" xfId="0" applyNumberFormat="1" applyFont="1" applyBorder="1" applyAlignment="1">
      <alignment vertical="top" wrapText="1"/>
    </xf>
    <xf numFmtId="165" fontId="13" fillId="0" borderId="4" xfId="0" applyNumberFormat="1" applyFont="1" applyBorder="1" applyAlignment="1">
      <alignment vertical="top" wrapText="1"/>
    </xf>
    <xf numFmtId="1" fontId="13" fillId="0" borderId="4" xfId="0" applyNumberFormat="1" applyFont="1" applyBorder="1" applyAlignment="1">
      <alignment vertical="top" wrapText="1"/>
    </xf>
    <xf numFmtId="170" fontId="23" fillId="0" borderId="4" xfId="0" applyNumberFormat="1" applyFont="1" applyBorder="1" applyAlignment="1">
      <alignment horizontal="center" vertical="center" wrapText="1"/>
    </xf>
    <xf numFmtId="0" fontId="24" fillId="5" borderId="4" xfId="0" applyFont="1" applyFill="1" applyBorder="1" applyAlignment="1">
      <alignment horizontal="center" vertical="center" wrapText="1"/>
    </xf>
    <xf numFmtId="170" fontId="23" fillId="13" borderId="4" xfId="0" applyNumberFormat="1" applyFont="1" applyFill="1" applyBorder="1" applyAlignment="1">
      <alignment horizontal="center" vertical="center" wrapText="1"/>
    </xf>
    <xf numFmtId="9" fontId="13" fillId="0" borderId="4" xfId="0" applyNumberFormat="1" applyFont="1" applyBorder="1" applyAlignment="1">
      <alignment vertical="top" wrapText="1"/>
    </xf>
    <xf numFmtId="0" fontId="22" fillId="0" borderId="0" xfId="0" applyFont="1"/>
    <xf numFmtId="164" fontId="26" fillId="0" borderId="4" xfId="0" applyNumberFormat="1" applyFont="1" applyBorder="1" applyAlignment="1">
      <alignment horizontal="center" vertical="center" wrapText="1"/>
    </xf>
    <xf numFmtId="0" fontId="23" fillId="14" borderId="4" xfId="0" applyFont="1" applyFill="1" applyBorder="1" applyAlignment="1">
      <alignment vertical="center" wrapText="1"/>
    </xf>
    <xf numFmtId="9" fontId="23" fillId="14" borderId="4" xfId="0" applyNumberFormat="1" applyFont="1" applyFill="1" applyBorder="1" applyAlignment="1">
      <alignment horizontal="center" vertical="center" wrapText="1"/>
    </xf>
    <xf numFmtId="0" fontId="29" fillId="5" borderId="4" xfId="0" applyFont="1" applyFill="1" applyBorder="1" applyAlignment="1">
      <alignment horizontal="center" vertical="center" wrapText="1"/>
    </xf>
    <xf numFmtId="0" fontId="23" fillId="16" borderId="4" xfId="0" applyFont="1" applyFill="1" applyBorder="1" applyAlignment="1">
      <alignment vertical="center" wrapText="1"/>
    </xf>
    <xf numFmtId="9" fontId="23" fillId="16" borderId="4" xfId="0" applyNumberFormat="1" applyFont="1" applyFill="1" applyBorder="1" applyAlignment="1">
      <alignment horizontal="center" vertical="center" wrapText="1"/>
    </xf>
    <xf numFmtId="1" fontId="23" fillId="12" borderId="4" xfId="0" applyNumberFormat="1" applyFont="1" applyFill="1" applyBorder="1" applyAlignment="1">
      <alignment horizontal="center" vertical="center" wrapText="1"/>
    </xf>
    <xf numFmtId="0" fontId="22" fillId="0" borderId="4" xfId="0" applyFont="1" applyBorder="1"/>
    <xf numFmtId="0" fontId="30" fillId="12" borderId="7" xfId="0" applyFont="1" applyFill="1" applyBorder="1" applyAlignment="1">
      <alignment vertical="center" wrapText="1"/>
    </xf>
    <xf numFmtId="0" fontId="22" fillId="0" borderId="8" xfId="0" applyFont="1" applyBorder="1"/>
    <xf numFmtId="0" fontId="17" fillId="4" borderId="0" xfId="0" applyFont="1" applyFill="1" applyAlignment="1">
      <alignment vertical="center" wrapText="1"/>
    </xf>
    <xf numFmtId="0" fontId="0" fillId="0" borderId="0" xfId="0"/>
    <xf numFmtId="0" fontId="32" fillId="8" borderId="0" xfId="0" applyFont="1" applyFill="1" applyAlignment="1">
      <alignment vertical="center" wrapText="1"/>
    </xf>
    <xf numFmtId="0" fontId="33" fillId="0" borderId="0" xfId="0" applyFont="1"/>
    <xf numFmtId="0" fontId="29" fillId="5" borderId="4" xfId="0" applyFont="1" applyFill="1" applyBorder="1" applyAlignment="1">
      <alignment horizontal="center" vertical="center" wrapText="1"/>
    </xf>
    <xf numFmtId="0" fontId="31" fillId="0" borderId="4" xfId="0" applyFont="1" applyBorder="1"/>
    <xf numFmtId="0" fontId="26" fillId="3" borderId="4" xfId="0" applyFont="1" applyFill="1" applyBorder="1" applyAlignment="1">
      <alignment horizontal="center" vertical="center" wrapText="1"/>
    </xf>
    <xf numFmtId="165" fontId="27" fillId="12" borderId="4" xfId="0" applyNumberFormat="1" applyFont="1" applyFill="1" applyBorder="1" applyAlignment="1">
      <alignment horizontal="center" vertical="center" wrapText="1"/>
    </xf>
    <xf numFmtId="0" fontId="24" fillId="5" borderId="4" xfId="0" applyFont="1" applyFill="1" applyBorder="1" applyAlignment="1">
      <alignment horizontal="center" vertical="center" wrapText="1"/>
    </xf>
    <xf numFmtId="0" fontId="25" fillId="0" borderId="4" xfId="0" applyFont="1" applyBorder="1"/>
    <xf numFmtId="0" fontId="23" fillId="12" borderId="4" xfId="0" applyFont="1" applyFill="1" applyBorder="1" applyAlignment="1">
      <alignment horizontal="center" vertical="center" wrapText="1"/>
    </xf>
    <xf numFmtId="0" fontId="23" fillId="0" borderId="4" xfId="0" applyFont="1" applyBorder="1" applyAlignment="1">
      <alignment vertical="center" wrapText="1"/>
    </xf>
    <xf numFmtId="0" fontId="5" fillId="7" borderId="0" xfId="0" applyFont="1" applyFill="1" applyAlignment="1">
      <alignment horizontal="left" vertical="center" wrapText="1"/>
    </xf>
    <xf numFmtId="168" fontId="27" fillId="12" borderId="4" xfId="0" applyNumberFormat="1" applyFont="1" applyFill="1" applyBorder="1" applyAlignment="1">
      <alignment horizontal="center" vertical="center" wrapText="1"/>
    </xf>
    <xf numFmtId="0" fontId="16" fillId="4" borderId="0" xfId="0" applyFont="1" applyFill="1" applyAlignment="1">
      <alignment vertical="center" wrapText="1"/>
    </xf>
    <xf numFmtId="169" fontId="27" fillId="12" borderId="4" xfId="0" applyNumberFormat="1" applyFont="1" applyFill="1" applyBorder="1" applyAlignment="1">
      <alignment horizontal="center" vertical="center" wrapText="1"/>
    </xf>
    <xf numFmtId="0" fontId="21" fillId="5" borderId="4" xfId="0" applyFont="1" applyFill="1" applyBorder="1" applyAlignment="1">
      <alignment horizontal="center" vertical="center" wrapText="1"/>
    </xf>
    <xf numFmtId="0" fontId="28" fillId="8" borderId="4" xfId="0" applyFont="1" applyFill="1" applyBorder="1" applyAlignment="1">
      <alignment vertical="center" wrapText="1"/>
    </xf>
    <xf numFmtId="0" fontId="20" fillId="8" borderId="0" xfId="0" applyFont="1" applyFill="1" applyAlignment="1">
      <alignment horizontal="center" vertical="center" wrapText="1"/>
    </xf>
    <xf numFmtId="0" fontId="23" fillId="14" borderId="4" xfId="0" applyFont="1" applyFill="1" applyBorder="1" applyAlignment="1">
      <alignment vertical="center" wrapText="1"/>
    </xf>
    <xf numFmtId="0" fontId="22" fillId="14" borderId="4" xfId="0" applyFont="1" applyFill="1" applyBorder="1"/>
    <xf numFmtId="0" fontId="23" fillId="16" borderId="4" xfId="0" applyFont="1" applyFill="1" applyBorder="1" applyAlignment="1">
      <alignment vertical="center" wrapText="1"/>
    </xf>
    <xf numFmtId="0" fontId="22" fillId="16" borderId="4" xfId="0" applyFont="1" applyFill="1" applyBorder="1"/>
    <xf numFmtId="0" fontId="18" fillId="4" borderId="0" xfId="0" applyFont="1" applyFill="1" applyAlignment="1">
      <alignment horizontal="center" vertical="center" wrapText="1"/>
    </xf>
    <xf numFmtId="0" fontId="15" fillId="2" borderId="0" xfId="0" applyFont="1" applyFill="1" applyAlignment="1">
      <alignment vertical="center" wrapText="1"/>
    </xf>
    <xf numFmtId="0" fontId="23" fillId="13" borderId="4" xfId="0" applyFont="1" applyFill="1" applyBorder="1" applyAlignment="1">
      <alignment vertical="center" wrapText="1"/>
    </xf>
    <xf numFmtId="0" fontId="22" fillId="13" borderId="4" xfId="0" applyFont="1" applyFill="1" applyBorder="1"/>
    <xf numFmtId="0" fontId="19" fillId="11" borderId="4" xfId="0" applyFont="1" applyFill="1" applyBorder="1" applyAlignment="1">
      <alignment horizontal="center" vertical="center" wrapText="1"/>
    </xf>
    <xf numFmtId="0" fontId="0" fillId="0" borderId="4" xfId="0" applyBorder="1"/>
    <xf numFmtId="0" fontId="16" fillId="10" borderId="0" xfId="0" applyFont="1" applyFill="1" applyAlignment="1">
      <alignment horizontal="center" vertical="center" wrapText="1"/>
    </xf>
    <xf numFmtId="0" fontId="6" fillId="11" borderId="4" xfId="0" applyFont="1" applyFill="1" applyBorder="1" applyAlignment="1">
      <alignment vertical="center" wrapText="1"/>
    </xf>
    <xf numFmtId="0" fontId="8" fillId="0" borderId="4" xfId="0" applyFont="1" applyBorder="1"/>
    <xf numFmtId="0" fontId="21" fillId="9" borderId="0" xfId="0" applyFont="1" applyFill="1" applyAlignment="1">
      <alignment vertical="center" wrapText="1"/>
    </xf>
    <xf numFmtId="0" fontId="22" fillId="0" borderId="0" xfId="0" applyFont="1"/>
    <xf numFmtId="0" fontId="29" fillId="15" borderId="5" xfId="0" applyFont="1" applyFill="1" applyBorder="1" applyAlignment="1">
      <alignment horizontal="center" vertical="center" wrapText="1"/>
    </xf>
    <xf numFmtId="0" fontId="0" fillId="0" borderId="6" xfId="0" applyBorder="1"/>
    <xf numFmtId="0" fontId="27" fillId="12" borderId="4" xfId="0" applyFont="1" applyFill="1" applyBorder="1" applyAlignment="1">
      <alignment horizontal="center" vertical="center" wrapText="1"/>
    </xf>
    <xf numFmtId="165" fontId="23" fillId="12" borderId="4" xfId="0" applyNumberFormat="1" applyFont="1" applyFill="1" applyBorder="1" applyAlignment="1">
      <alignment horizontal="center" vertical="center" wrapText="1"/>
    </xf>
    <xf numFmtId="0" fontId="27" fillId="11" borderId="4" xfId="0" applyFont="1" applyFill="1" applyBorder="1" applyAlignment="1">
      <alignment vertical="center" wrapText="1"/>
    </xf>
    <xf numFmtId="0" fontId="6" fillId="8" borderId="9" xfId="0" applyFont="1" applyFill="1" applyBorder="1" applyAlignment="1">
      <alignment horizontal="left" vertical="center" wrapText="1"/>
    </xf>
    <xf numFmtId="0" fontId="6" fillId="8" borderId="0" xfId="0" applyFont="1" applyFill="1" applyAlignment="1">
      <alignment horizontal="left" vertical="center" wrapText="1"/>
    </xf>
    <xf numFmtId="0" fontId="11" fillId="5" borderId="0" xfId="0" applyFont="1" applyFill="1" applyAlignment="1">
      <alignment horizontal="center" vertical="center" wrapText="1"/>
    </xf>
    <xf numFmtId="0" fontId="1" fillId="2" borderId="0" xfId="0" applyFont="1" applyFill="1" applyAlignment="1">
      <alignment horizontal="left" vertical="center"/>
    </xf>
    <xf numFmtId="0" fontId="2" fillId="4" borderId="0" xfId="0" applyFont="1" applyFill="1" applyAlignment="1">
      <alignment horizontal="left" vertical="top"/>
    </xf>
    <xf numFmtId="0" fontId="6" fillId="8" borderId="1" xfId="0" applyFont="1" applyFill="1" applyBorder="1" applyAlignment="1">
      <alignment vertical="center" wrapText="1"/>
    </xf>
    <xf numFmtId="0" fontId="0" fillId="0" borderId="2" xfId="0" applyBorder="1"/>
    <xf numFmtId="0" fontId="0" fillId="0" borderId="3" xfId="0" applyBorder="1"/>
    <xf numFmtId="0" fontId="3" fillId="5" borderId="1" xfId="0"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0" fontId="10" fillId="3" borderId="0" xfId="0" applyFont="1" applyFill="1" applyAlignment="1">
      <alignment wrapText="1"/>
    </xf>
    <xf numFmtId="0" fontId="2" fillId="9" borderId="0" xfId="0" applyFont="1" applyFill="1" applyAlignment="1">
      <alignment horizontal="left" vertical="center"/>
    </xf>
    <xf numFmtId="0" fontId="2" fillId="4" borderId="0" xfId="0" applyFont="1" applyFill="1" applyAlignment="1">
      <alignment horizontal="left" vertical="center"/>
    </xf>
    <xf numFmtId="0" fontId="3" fillId="5" borderId="0" xfId="0" applyFont="1" applyFill="1"/>
    <xf numFmtId="0" fontId="11" fillId="9" borderId="0" xfId="0" applyFont="1" applyFill="1" applyAlignment="1">
      <alignment horizontal="left" vertical="center"/>
    </xf>
    <xf numFmtId="0" fontId="6" fillId="12" borderId="1" xfId="0" applyFont="1" applyFill="1" applyBorder="1" applyAlignment="1">
      <alignment vertical="top" wrapText="1"/>
    </xf>
    <xf numFmtId="0" fontId="6" fillId="8" borderId="1" xfId="0" applyFont="1" applyFill="1" applyBorder="1" applyAlignment="1">
      <alignment vertical="top" wrapText="1"/>
    </xf>
    <xf numFmtId="0" fontId="6" fillId="12" borderId="1" xfId="0" applyFont="1" applyFill="1" applyBorder="1" applyAlignment="1">
      <alignment vertical="center" wrapText="1"/>
    </xf>
    <xf numFmtId="0" fontId="4" fillId="3" borderId="0" xfId="0" applyFont="1" applyFill="1" applyAlignment="1">
      <alignment wrapText="1"/>
    </xf>
    <xf numFmtId="0" fontId="3" fillId="2" borderId="0" xfId="0" applyFont="1" applyFill="1" applyAlignment="1">
      <alignment vertical="center" wrapText="1"/>
    </xf>
    <xf numFmtId="0" fontId="11" fillId="4"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showGridLines="0" tabSelected="1" workbookViewId="0">
      <selection activeCell="C3" sqref="C3:L3"/>
    </sheetView>
  </sheetViews>
  <sheetFormatPr baseColWidth="10" defaultColWidth="8.83203125" defaultRowHeight="14"/>
  <cols>
    <col min="1" max="1" width="20" customWidth="1"/>
    <col min="2" max="2" width="17" customWidth="1"/>
    <col min="3" max="4" width="12" customWidth="1"/>
    <col min="5" max="5" width="16" customWidth="1"/>
    <col min="6" max="6" width="23.33203125" customWidth="1"/>
    <col min="7" max="7" width="16.1640625" customWidth="1"/>
    <col min="8" max="8" width="15.83203125" customWidth="1"/>
    <col min="9" max="9" width="15.1640625" customWidth="1"/>
    <col min="10" max="11" width="21.1640625" customWidth="1"/>
    <col min="12" max="12" width="17.33203125" customWidth="1"/>
    <col min="13" max="13" width="28.33203125" customWidth="1"/>
  </cols>
  <sheetData>
    <row r="1" spans="1:12" ht="32" customHeight="1">
      <c r="A1" s="69" t="s">
        <v>0</v>
      </c>
      <c r="B1" s="46"/>
      <c r="C1" s="46"/>
      <c r="D1" s="46"/>
      <c r="E1" s="46"/>
      <c r="F1" s="46"/>
      <c r="G1" s="46"/>
      <c r="H1" s="46"/>
      <c r="I1" s="46"/>
      <c r="J1" s="46"/>
      <c r="K1" s="46"/>
      <c r="L1" s="46"/>
    </row>
    <row r="2" spans="1:12" ht="30" customHeight="1">
      <c r="A2" s="47" t="s">
        <v>384</v>
      </c>
      <c r="B2" s="48"/>
      <c r="C2" s="48"/>
      <c r="D2" s="48"/>
      <c r="E2" s="48"/>
      <c r="F2" s="48"/>
      <c r="G2" s="48"/>
      <c r="H2" s="48"/>
      <c r="I2" s="48"/>
      <c r="J2" s="48"/>
      <c r="K2" s="48"/>
      <c r="L2" s="48"/>
    </row>
    <row r="3" spans="1:12" ht="28" customHeight="1">
      <c r="A3" s="74" t="s">
        <v>1</v>
      </c>
      <c r="B3" s="46"/>
      <c r="C3" s="57" t="s">
        <v>70</v>
      </c>
      <c r="D3" s="46"/>
      <c r="E3" s="46"/>
      <c r="F3" s="46"/>
      <c r="G3" s="46"/>
      <c r="H3" s="46"/>
      <c r="I3" s="46"/>
      <c r="J3" s="46"/>
      <c r="K3" s="46"/>
      <c r="L3" s="46"/>
    </row>
    <row r="4" spans="1:12" ht="21" customHeight="1">
      <c r="A4" s="59" t="s">
        <v>3</v>
      </c>
      <c r="B4" s="46"/>
      <c r="C4" s="46"/>
      <c r="D4" s="46"/>
      <c r="E4" s="46"/>
      <c r="F4" s="46"/>
      <c r="H4" s="45" t="s">
        <v>4</v>
      </c>
      <c r="I4" s="46"/>
      <c r="J4" s="46"/>
      <c r="K4" s="46"/>
      <c r="L4" s="46"/>
    </row>
    <row r="5" spans="1:12" ht="40" customHeight="1">
      <c r="A5" s="53" t="s">
        <v>5</v>
      </c>
      <c r="B5" s="54"/>
      <c r="C5" s="54"/>
      <c r="D5" s="31" t="s">
        <v>380</v>
      </c>
      <c r="E5" s="31" t="s">
        <v>7</v>
      </c>
      <c r="F5" s="31" t="s">
        <v>8</v>
      </c>
      <c r="H5" s="72" t="str">
        <f>INDEX($A$6:$A$9,MATCH(MAX($F$6:$F$9),$F$6:$F$9,0))</f>
        <v>Battery + EMS</v>
      </c>
      <c r="I5" s="73"/>
      <c r="J5" s="73"/>
      <c r="K5" s="73"/>
      <c r="L5" s="73"/>
    </row>
    <row r="6" spans="1:12" ht="28" customHeight="1">
      <c r="A6" s="56" t="s">
        <v>9</v>
      </c>
      <c r="B6" s="42"/>
      <c r="C6" s="42"/>
      <c r="D6" s="30">
        <f>SUMIFS('Public Inputs'!$P$6:$P$17,'Public Inputs'!$N$6:$N$17,$C$3,'Public Inputs'!$O$6:$O$17,$A6)</f>
        <v>2.85</v>
      </c>
      <c r="E6" s="30">
        <f>SUMIFS('Public Inputs'!$Q$6:$Q$17,'Public Inputs'!$N$6:$N$17,$C$3,'Public Inputs'!$O$6:$O$17,$A6)</f>
        <v>2.5</v>
      </c>
      <c r="F6" s="30">
        <f>SUMIFS('Public Inputs'!$R$6:$R$17,'Public Inputs'!$N$6:$N$17,$C$3,'Public Inputs'!$O$6:$O$17,$A6)</f>
        <v>2.6749999999999998</v>
      </c>
      <c r="H6" s="73"/>
      <c r="I6" s="73"/>
      <c r="J6" s="73"/>
      <c r="K6" s="73"/>
      <c r="L6" s="73"/>
    </row>
    <row r="7" spans="1:12" ht="28" customHeight="1">
      <c r="A7" s="70" t="s">
        <v>10</v>
      </c>
      <c r="B7" s="71"/>
      <c r="C7" s="71"/>
      <c r="D7" s="32">
        <f>SUMIFS('Public Inputs'!$P$6:$P$17,'Public Inputs'!$N$6:$N$17,$C$3,'Public Inputs'!$O$6:$O$17,$A7)</f>
        <v>3.9749999999999996</v>
      </c>
      <c r="E7" s="32">
        <f>SUMIFS('Public Inputs'!$Q$6:$Q$17,'Public Inputs'!$N$6:$N$17,$C$3,'Public Inputs'!$O$6:$O$17,$A7)</f>
        <v>4.45</v>
      </c>
      <c r="F7" s="32">
        <f>SUMIFS('Public Inputs'!$R$6:$R$17,'Public Inputs'!$N$6:$N$17,$C$3,'Public Inputs'!$O$6:$O$17,$A7)</f>
        <v>4.2125000000000004</v>
      </c>
      <c r="H7" s="63" t="str">
        <f>"Grid operator "&amp;TEXT(INDEX($D$6:$D$9,MATCH($H$5,$A$6:$A$9,0)),"0.0")&amp;" / 5   |   Company "&amp;TEXT(INDEX($E$6:$E$9,MATCH($H$5,$A$6:$A$9,0)),"0.0")&amp;" / 5   |   Overall "&amp;TEXT(INDEX($F$6:$F$9,MATCH($H$5,$A$6:$A$9,0)),"0.0")&amp;" / 5"</f>
        <v>Grid operator 04 / 5   |   Company 04 / 5   |   Overall 04 / 5</v>
      </c>
      <c r="I7" s="46"/>
      <c r="J7" s="46"/>
      <c r="K7" s="46"/>
      <c r="L7" s="46"/>
    </row>
    <row r="8" spans="1:12" ht="28" customHeight="1">
      <c r="A8" s="56" t="s">
        <v>11</v>
      </c>
      <c r="B8" s="42"/>
      <c r="C8" s="42"/>
      <c r="D8" s="30">
        <f>SUMIFS('Public Inputs'!$P$6:$P$17,'Public Inputs'!$N$6:$N$17,$C$3,'Public Inputs'!$O$6:$O$17,$A8)</f>
        <v>3.05</v>
      </c>
      <c r="E8" s="30">
        <f>SUMIFS('Public Inputs'!$Q$6:$Q$17,'Public Inputs'!$N$6:$N$17,$C$3,'Public Inputs'!$O$6:$O$17,$A8)</f>
        <v>3.3</v>
      </c>
      <c r="F8" s="30">
        <f>SUMIFS('Public Inputs'!$R$6:$R$17,'Public Inputs'!$N$6:$N$17,$C$3,'Public Inputs'!$O$6:$O$17,$A8)</f>
        <v>3.1749999999999998</v>
      </c>
      <c r="H8" s="75" t="str">
        <f>INDEX('Public Inputs'!$K$22:$K$24,MATCH($C$3,'Public Inputs'!$A$22:$A$24,0))</f>
        <v>Short peaks at the high-voltage station are reduced below the threshold by both flexibility solutions. The margins are narrow, and performance over the full period remains uncertain without a forward series.</v>
      </c>
      <c r="I8" s="76"/>
      <c r="J8" s="76"/>
      <c r="K8" s="76"/>
      <c r="L8" s="76"/>
    </row>
    <row r="9" spans="1:12" ht="28" customHeight="1">
      <c r="A9" s="56" t="s">
        <v>12</v>
      </c>
      <c r="B9" s="42"/>
      <c r="C9" s="42"/>
      <c r="D9" s="30">
        <f>SUMIFS('Public Inputs'!$P$6:$P$17,'Public Inputs'!$N$6:$N$17,$C$3,'Public Inputs'!$O$6:$O$17,$A9)</f>
        <v>3.05</v>
      </c>
      <c r="E9" s="30">
        <f>SUMIFS('Public Inputs'!$Q$6:$Q$17,'Public Inputs'!$N$6:$N$17,$C$3,'Public Inputs'!$O$6:$O$17,$A9)</f>
        <v>2.6999999999999997</v>
      </c>
      <c r="F9" s="30">
        <f>SUMIFS('Public Inputs'!$R$6:$R$17,'Public Inputs'!$N$6:$N$17,$C$3,'Public Inputs'!$O$6:$O$17,$A9)</f>
        <v>2.875</v>
      </c>
      <c r="H9" s="76"/>
      <c r="I9" s="76"/>
      <c r="J9" s="76"/>
      <c r="K9" s="76"/>
      <c r="L9" s="76"/>
    </row>
    <row r="11" spans="1:12" ht="23" customHeight="1">
      <c r="A11" s="77" t="s">
        <v>13</v>
      </c>
      <c r="B11" s="78"/>
      <c r="C11" s="78"/>
      <c r="D11" s="78"/>
      <c r="E11" s="78"/>
      <c r="F11" s="78"/>
      <c r="G11" s="78"/>
      <c r="H11" s="78"/>
      <c r="I11" s="78"/>
      <c r="J11" s="78"/>
      <c r="K11" s="78"/>
      <c r="L11" s="78"/>
    </row>
    <row r="12" spans="1:12" ht="36" customHeight="1">
      <c r="A12" s="51" t="s">
        <v>14</v>
      </c>
      <c r="B12" s="42"/>
      <c r="C12" s="51" t="s">
        <v>15</v>
      </c>
      <c r="D12" s="42"/>
      <c r="E12" s="51" t="s">
        <v>16</v>
      </c>
      <c r="F12" s="42"/>
      <c r="G12" s="51" t="s">
        <v>17</v>
      </c>
      <c r="H12" s="42"/>
      <c r="I12" s="51" t="s">
        <v>18</v>
      </c>
      <c r="J12" s="42"/>
      <c r="K12" s="51" t="s">
        <v>19</v>
      </c>
      <c r="L12" s="42"/>
    </row>
    <row r="13" spans="1:12" ht="35" customHeight="1">
      <c r="A13" s="81" t="str">
        <f>INDEX('Public Inputs'!$B$22:$B$24,MATCH($C$3,'Public Inputs'!$A$22:$A$24,0))</f>
        <v>Village 2</v>
      </c>
      <c r="B13" s="42"/>
      <c r="C13" s="81">
        <f>INDEX('Public Inputs'!$V$22:$V$24,MATCH($C$3,'Public Inputs'!$A$22:$A$24,0))</f>
        <v>1</v>
      </c>
      <c r="D13" s="42"/>
      <c r="E13" s="58">
        <f>INDEX('Public Inputs'!$W$22:$W$24,MATCH($C$3,'Public Inputs'!$A$22:$A$24,0))</f>
        <v>29171.200000000001</v>
      </c>
      <c r="F13" s="42"/>
      <c r="G13" s="60">
        <f>INDEX('Public Inputs'!$X$22:$X$24,MATCH($C$3,'Public Inputs'!$A$22:$A$24,0))</f>
        <v>3644.4</v>
      </c>
      <c r="H13" s="42"/>
      <c r="I13" s="81" t="str">
        <f>INDEX('Public Inputs'!$Y$22:$Y$24,MATCH($C$3,'Public Inputs'!$A$22:$A$24,0))</f>
        <v>Christmas holiday</v>
      </c>
      <c r="J13" s="42"/>
      <c r="K13" s="58">
        <f>INDEX('Public Inputs'!$Z$22:$Z$24,MATCH($C$3,'Public Inputs'!$A$22:$A$24,0))</f>
        <v>48505.2</v>
      </c>
      <c r="L13" s="42"/>
    </row>
    <row r="14" spans="1:12" ht="43" customHeight="1">
      <c r="A14" s="61" t="s">
        <v>379</v>
      </c>
      <c r="B14" s="42"/>
      <c r="C14" s="61" t="s">
        <v>20</v>
      </c>
      <c r="D14" s="42"/>
      <c r="E14" s="61" t="s">
        <v>21</v>
      </c>
      <c r="F14" s="42"/>
      <c r="G14" s="61" t="s">
        <v>22</v>
      </c>
      <c r="H14" s="42"/>
      <c r="I14" s="61" t="s">
        <v>23</v>
      </c>
      <c r="J14" s="42"/>
      <c r="K14" s="61" t="s">
        <v>24</v>
      </c>
      <c r="L14" s="42"/>
    </row>
    <row r="15" spans="1:12" ht="34" customHeight="1">
      <c r="A15" s="51" t="s">
        <v>25</v>
      </c>
      <c r="B15" s="42"/>
      <c r="C15" s="52">
        <f>INDEX('Public Inputs'!$AA$22:$AA$24,MATCH($C$3,'Public Inputs'!$A$22:$A$24,0))</f>
        <v>0.63400000000000001</v>
      </c>
      <c r="D15" s="42"/>
      <c r="E15" s="52">
        <f>INDEX('Public Inputs'!$AB$22:$AB$24,MATCH($C$3,'Public Inputs'!$A$22:$A$24,0))</f>
        <v>0.82299999999999995</v>
      </c>
      <c r="F15" s="42"/>
      <c r="G15" s="41">
        <f>INDEX('Public Inputs'!$AC$22:$AC$24,MATCH($C$3,'Public Inputs'!$A$22:$A$24,0))</f>
        <v>2035</v>
      </c>
      <c r="H15" s="42"/>
      <c r="I15" s="55" t="str">
        <f>INDEX('Public Inputs'!$AD$22:$AD$24,MATCH($C$3,'Public Inputs'!$A$22:$A$24,0))</f>
        <v>0 total / 0 holiday</v>
      </c>
      <c r="J15" s="42"/>
      <c r="K15" s="82" t="str">
        <f>INDEX('Public Inputs'!$AE$22:$AE$24,MATCH($C$3,'Public Inputs'!$A$22:$A$24,0))</f>
        <v>N/A</v>
      </c>
      <c r="L15" s="42"/>
    </row>
    <row r="16" spans="1:12" ht="36" customHeight="1">
      <c r="A16" s="51" t="s">
        <v>378</v>
      </c>
      <c r="B16" s="42"/>
      <c r="C16" s="52">
        <f>INDEX('Public Inputs'!$AF$22:$AF$24,MATCH($C$3,'Public Inputs'!$A$22:$A$24,0))</f>
        <v>0.94799999999999995</v>
      </c>
      <c r="D16" s="42"/>
      <c r="E16" s="52" t="str">
        <f>INDEX('Public Inputs'!$AG$22:$AG$24,MATCH($C$3,'Public Inputs'!$A$22:$A$24,0))</f>
        <v>&gt;100%</v>
      </c>
      <c r="F16" s="42"/>
      <c r="G16" s="41">
        <f>INDEX('Public Inputs'!$AH$22:$AH$24,MATCH($C$3,'Public Inputs'!$A$22:$A$24,0))</f>
        <v>2025</v>
      </c>
      <c r="H16" s="42"/>
      <c r="I16" s="55" t="str">
        <f>INDEX('Public Inputs'!$AI$22:$AI$24,MATCH($C$3,'Public Inputs'!$A$22:$A$24,0))</f>
        <v>4.25 total / 1.75 holiday</v>
      </c>
      <c r="J16" s="42"/>
      <c r="K16" s="82">
        <f>INDEX('Public Inputs'!$AJ$22:$AJ$24,MATCH($C$3,'Public Inputs'!$A$22:$A$24,0))</f>
        <v>0.41199999999999998</v>
      </c>
      <c r="L16" s="42"/>
    </row>
    <row r="17" spans="1:13" ht="30" customHeight="1">
      <c r="A17" s="61" t="s">
        <v>26</v>
      </c>
      <c r="B17" s="42"/>
      <c r="C17" s="83" t="str">
        <f>INDEX('Public Inputs'!$J$22:$J$24,MATCH($C$3,'Public Inputs'!$A$22:$A$24,0))</f>
        <v>Both flexibility solutions clear the 90% threshold in the measured test</v>
      </c>
      <c r="D17" s="42"/>
      <c r="E17" s="42"/>
      <c r="F17" s="42"/>
      <c r="G17" s="42"/>
      <c r="H17" s="42"/>
      <c r="I17" s="42"/>
      <c r="J17" s="42"/>
      <c r="K17" s="42"/>
      <c r="L17" s="42"/>
    </row>
    <row r="18" spans="1:13" ht="46" customHeight="1">
      <c r="A18" s="62" t="str">
        <f>INDEX('Public Inputs'!$AK$22:$AK$24,MATCH($C$3,'Public Inputs'!$A$22:$A$24,0))</f>
        <v>The high-voltage percentage is a 2025 measurement; no forward forecast series exists for that level because reinforcement follows in the short term. The distribution-level percentage is the 2031 forecast. Flexibility lowers the high-voltage level to 88.3% (battery + EMS) and 89.1% (Group Transport Agreement).</v>
      </c>
      <c r="B18" s="42"/>
      <c r="C18" s="42"/>
      <c r="D18" s="42"/>
      <c r="E18" s="42"/>
      <c r="F18" s="42"/>
      <c r="G18" s="42"/>
      <c r="H18" s="42"/>
      <c r="I18" s="42"/>
      <c r="J18" s="42"/>
      <c r="K18" s="42"/>
      <c r="L18" s="42"/>
    </row>
    <row r="19" spans="1:13" ht="19">
      <c r="A19" s="34"/>
      <c r="B19" s="34"/>
      <c r="C19" s="34"/>
      <c r="D19" s="34"/>
      <c r="E19" s="34"/>
      <c r="F19" s="34"/>
      <c r="G19" s="34"/>
      <c r="H19" s="34"/>
      <c r="I19" s="34"/>
      <c r="J19" s="34"/>
      <c r="K19" s="34"/>
      <c r="L19" s="34"/>
    </row>
    <row r="20" spans="1:13" ht="16" customHeight="1" thickBot="1">
      <c r="A20" s="68" t="s">
        <v>27</v>
      </c>
      <c r="B20" s="68"/>
      <c r="C20" s="68"/>
      <c r="D20" s="68"/>
      <c r="E20" s="68"/>
      <c r="F20" s="68"/>
      <c r="G20" s="68"/>
      <c r="H20" s="68"/>
      <c r="I20" s="68"/>
      <c r="J20" s="68"/>
      <c r="K20" s="68"/>
      <c r="L20" s="68"/>
      <c r="M20" s="68"/>
    </row>
    <row r="21" spans="1:13" ht="60">
      <c r="A21" s="38" t="s">
        <v>28</v>
      </c>
      <c r="B21" s="49" t="s">
        <v>29</v>
      </c>
      <c r="C21" s="50"/>
      <c r="D21" s="38" t="s">
        <v>30</v>
      </c>
      <c r="E21" s="38" t="s">
        <v>31</v>
      </c>
      <c r="F21" s="38" t="s">
        <v>9</v>
      </c>
      <c r="G21" s="38" t="s">
        <v>10</v>
      </c>
      <c r="H21" s="38" t="s">
        <v>11</v>
      </c>
      <c r="I21" s="38" t="s">
        <v>12</v>
      </c>
      <c r="J21" s="79" t="s">
        <v>382</v>
      </c>
      <c r="K21" s="80"/>
      <c r="L21" s="79" t="s">
        <v>383</v>
      </c>
      <c r="M21" s="80"/>
    </row>
    <row r="22" spans="1:13" ht="95" customHeight="1">
      <c r="A22" s="39" t="s">
        <v>6</v>
      </c>
      <c r="B22" s="66" t="s">
        <v>32</v>
      </c>
      <c r="C22" s="67"/>
      <c r="D22" s="40">
        <f>INDEX('Public Inputs'!$C$6:$C$15,MATCH($B22,'Public Inputs'!$B$6:$B$15,0))</f>
        <v>0.3</v>
      </c>
      <c r="E22" s="39" t="str">
        <f>INDEX('Public Inputs'!$D$6:$D$15,MATCH($B22,'Public Inputs'!$B$6:$B$15,0))</f>
        <v>Economic prospects</v>
      </c>
      <c r="F22" s="35">
        <f>SUMIFS('Public Inputs'!$K$28:$K$147,'Public Inputs'!$A$28:$A$147,$C$3,'Public Inputs'!$B$28:$B$147,$A22,'Public Inputs'!$C$28:$C$147,$B22,'Public Inputs'!$D$28:$D$147,F$21)</f>
        <v>2</v>
      </c>
      <c r="G22" s="35">
        <f>SUMIFS('Public Inputs'!$K$28:$K$147,'Public Inputs'!$A$28:$A$147,$C$3,'Public Inputs'!$B$28:$B$147,$A22,'Public Inputs'!$C$28:$C$147,$B22,'Public Inputs'!$D$28:$D$147,G$21)</f>
        <v>4.5</v>
      </c>
      <c r="H22" s="35">
        <f>SUMIFS('Public Inputs'!$K$28:$K$147,'Public Inputs'!$A$28:$A$147,$C$3,'Public Inputs'!$B$28:$B$147,$A22,'Public Inputs'!$C$28:$C$147,$B22,'Public Inputs'!$D$28:$D$147,H$21)</f>
        <v>4.5</v>
      </c>
      <c r="I22" s="35">
        <f>SUMIFS('Public Inputs'!$K$28:$K$147,'Public Inputs'!$A$28:$A$147,$C$3,'Public Inputs'!$B$28:$B$147,$A22,'Public Inputs'!$C$28:$C$147,$B22,'Public Inputs'!$D$28:$D$147,I$21)</f>
        <v>5</v>
      </c>
      <c r="J22" s="43" t="s">
        <v>385</v>
      </c>
      <c r="K22" s="44"/>
      <c r="L22" s="43" t="str">
        <f>IFERROR(CHOOSE(MATCH($C$3,{"Schouwen-Duiveland","Walcheren","West-Zeeuws-Vlaanderen"},0),"","Battery +0.5 — clears the threshold: ATC 0.948 → 0.883.   |   GTO +0.5 — clears the threshold: ATC 0.948 → 0.891.","Battery +0.5 — clears the threshold: ATC 0.906 → 0.861.   |   GTO +0.5 — clears the threshold: ATC 0.906 → 0.858."),"")</f>
        <v>Battery +0.5 — clears the threshold: ATC 0.948 → 0.883.   |   GTO +0.5 — clears the threshold: ATC 0.948 → 0.891.</v>
      </c>
      <c r="M22" s="44"/>
    </row>
    <row r="23" spans="1:13" ht="95" customHeight="1">
      <c r="A23" s="39" t="s">
        <v>6</v>
      </c>
      <c r="B23" s="66" t="s">
        <v>33</v>
      </c>
      <c r="C23" s="67"/>
      <c r="D23" s="40">
        <f>INDEX('Public Inputs'!$C$6:$C$15,MATCH($B23,'Public Inputs'!$B$6:$B$15,0))</f>
        <v>0.2</v>
      </c>
      <c r="E23" s="39" t="str">
        <f>INDEX('Public Inputs'!$D$6:$D$15,MATCH($B23,'Public Inputs'!$B$6:$B$15,0))</f>
        <v>Maturity</v>
      </c>
      <c r="F23" s="35">
        <f>SUMIFS('Public Inputs'!$K$28:$K$147,'Public Inputs'!$A$28:$A$147,$C$3,'Public Inputs'!$B$28:$B$147,$A23,'Public Inputs'!$C$28:$C$147,$B23,'Public Inputs'!$D$28:$D$147,F$21)</f>
        <v>3.5</v>
      </c>
      <c r="G23" s="35">
        <f>SUMIFS('Public Inputs'!$K$28:$K$147,'Public Inputs'!$A$28:$A$147,$C$3,'Public Inputs'!$B$28:$B$147,$A23,'Public Inputs'!$C$28:$C$147,$B23,'Public Inputs'!$D$28:$D$147,G$21)</f>
        <v>2.5</v>
      </c>
      <c r="H23" s="35">
        <f>SUMIFS('Public Inputs'!$K$28:$K$147,'Public Inputs'!$A$28:$A$147,$C$3,'Public Inputs'!$B$28:$B$147,$A23,'Public Inputs'!$C$28:$C$147,$B23,'Public Inputs'!$D$28:$D$147,H$21)</f>
        <v>2.5</v>
      </c>
      <c r="I23" s="35">
        <f>SUMIFS('Public Inputs'!$K$28:$K$147,'Public Inputs'!$A$28:$A$147,$C$3,'Public Inputs'!$B$28:$B$147,$A23,'Public Inputs'!$C$28:$C$147,$B23,'Public Inputs'!$D$28:$D$147,I$21)</f>
        <v>1</v>
      </c>
      <c r="J23" s="43" t="s">
        <v>386</v>
      </c>
      <c r="K23" s="44"/>
      <c r="L23" s="43" t="str">
        <f>IFERROR(CHOOSE(MATCH($C$3,{"Schouwen-Duiveland","Walcheren","West-Zeeuws-Vlaanderen"},0),"Grid −0.5 — reinforcement only July 2032; 10 h above 0.90 in 2031.","Grid −0.5 — constrained since 2025; reinforcement only end 2028.   |   Battery +0.5 — stress in 4.25 h a year, episodes of about one hour.   |   GTO −0.5 — collective maturity 2 of 5; initiatives are knowledge exchange only.","Grid −0.5 — the 2028 intervention is not attributed to this component.   |   GTO −0.5 — collective maturity 1 of 5; chain parks are centrally controlled."),"")</f>
        <v>Grid −0.5 — constrained since 2025; reinforcement only end 2028.   |   Battery +0.5 — stress in 4.25 h a year, episodes of about one hour.   |   GTO −0.5 — collective maturity 2 of 5; initiatives are knowledge exchange only.</v>
      </c>
      <c r="M23" s="44"/>
    </row>
    <row r="24" spans="1:13" ht="76" customHeight="1">
      <c r="A24" s="39" t="s">
        <v>6</v>
      </c>
      <c r="B24" s="66" t="s">
        <v>34</v>
      </c>
      <c r="C24" s="67"/>
      <c r="D24" s="40">
        <f>INDEX('Public Inputs'!$C$6:$C$15,MATCH($B24,'Public Inputs'!$B$6:$B$15,0))</f>
        <v>0.2</v>
      </c>
      <c r="E24" s="39" t="str">
        <f>INDEX('Public Inputs'!$D$6:$D$15,MATCH($B24,'Public Inputs'!$B$6:$B$15,0))</f>
        <v>Feasibility</v>
      </c>
      <c r="F24" s="35">
        <f>SUMIFS('Public Inputs'!$K$28:$K$147,'Public Inputs'!$A$28:$A$147,$C$3,'Public Inputs'!$B$28:$B$147,$A24,'Public Inputs'!$C$28:$C$147,$B24,'Public Inputs'!$D$28:$D$147,F$21)</f>
        <v>1</v>
      </c>
      <c r="G24" s="35">
        <f>SUMIFS('Public Inputs'!$K$28:$K$147,'Public Inputs'!$A$28:$A$147,$C$3,'Public Inputs'!$B$28:$B$147,$A24,'Public Inputs'!$C$28:$C$147,$B24,'Public Inputs'!$D$28:$D$147,G$21)</f>
        <v>5</v>
      </c>
      <c r="H24" s="35">
        <f>SUMIFS('Public Inputs'!$K$28:$K$147,'Public Inputs'!$A$28:$A$147,$C$3,'Public Inputs'!$B$28:$B$147,$A24,'Public Inputs'!$C$28:$C$147,$B24,'Public Inputs'!$D$28:$D$147,H$21)</f>
        <v>3</v>
      </c>
      <c r="I24" s="35">
        <f>SUMIFS('Public Inputs'!$K$28:$K$147,'Public Inputs'!$A$28:$A$147,$C$3,'Public Inputs'!$B$28:$B$147,$A24,'Public Inputs'!$C$28:$C$147,$B24,'Public Inputs'!$D$28:$D$147,I$21)</f>
        <v>1.5</v>
      </c>
      <c r="J24" s="43" t="s">
        <v>387</v>
      </c>
      <c r="K24" s="44"/>
      <c r="L24" s="43" t="str">
        <f>IFERROR(CHOOSE(MATCH($C$3,{"Schouwen-Duiveland","Walcheren","West-Zeeuws-Vlaanderen"},0),"Exit −0.5 — no relief; ATC stays 0.970 through the 1-year bridge period.","Battery +0.5 — clears 0.90 and covers 3 of the 3 bridge years.   |   Exit −0.5 — peak stays at 0.948 for all three years.","Battery +0.5 — clears 0.90 with the widest margin, 0.042.   |   Exit −0.5 — forecast exceeds capacity in 2029 with no dated reinforcement."),"")</f>
        <v>Battery +0.5 — clears 0.90 and covers 3 of the 3 bridge years.   |   Exit −0.5 — peak stays at 0.948 for all three years.</v>
      </c>
      <c r="M24" s="44"/>
    </row>
    <row r="25" spans="1:13" ht="76" customHeight="1">
      <c r="A25" s="39" t="s">
        <v>6</v>
      </c>
      <c r="B25" s="66" t="s">
        <v>35</v>
      </c>
      <c r="C25" s="67"/>
      <c r="D25" s="40">
        <f>INDEX('Public Inputs'!$C$6:$C$15,MATCH($B25,'Public Inputs'!$B$6:$B$15,0))</f>
        <v>0.15</v>
      </c>
      <c r="E25" s="39" t="str">
        <f>INDEX('Public Inputs'!$D$6:$D$15,MATCH($B25,'Public Inputs'!$B$6:$B$15,0))</f>
        <v>Maturity</v>
      </c>
      <c r="F25" s="35">
        <f>SUMIFS('Public Inputs'!$K$28:$K$147,'Public Inputs'!$A$28:$A$147,$C$3,'Public Inputs'!$B$28:$B$147,$A25,'Public Inputs'!$C$28:$C$147,$B25,'Public Inputs'!$D$28:$D$147,F$21)</f>
        <v>5</v>
      </c>
      <c r="G25" s="35">
        <f>SUMIFS('Public Inputs'!$K$28:$K$147,'Public Inputs'!$A$28:$A$147,$C$3,'Public Inputs'!$B$28:$B$147,$A25,'Public Inputs'!$C$28:$C$147,$B25,'Public Inputs'!$D$28:$D$147,G$21)</f>
        <v>4.5</v>
      </c>
      <c r="H25" s="35">
        <f>SUMIFS('Public Inputs'!$K$28:$K$147,'Public Inputs'!$A$28:$A$147,$C$3,'Public Inputs'!$B$28:$B$147,$A25,'Public Inputs'!$C$28:$C$147,$B25,'Public Inputs'!$D$28:$D$147,H$21)</f>
        <v>2</v>
      </c>
      <c r="I25" s="35">
        <f>SUMIFS('Public Inputs'!$K$28:$K$147,'Public Inputs'!$A$28:$A$147,$C$3,'Public Inputs'!$B$28:$B$147,$A25,'Public Inputs'!$C$28:$C$147,$B25,'Public Inputs'!$D$28:$D$147,I$21)</f>
        <v>2</v>
      </c>
      <c r="J25" s="43" t="s">
        <v>388</v>
      </c>
      <c r="K25" s="44"/>
      <c r="L25" s="43" t="str">
        <f>IFERROR(CHOOSE(MATCH($C$3,{"Schouwen-Duiveland","Walcheren","West-Zeeuws-Vlaanderen"},0),"GTO +0.5 — energy cooperation developing towards hubs and GTOs; collective maturity 4 of 5.","Battery +0.5 — several companies already operate batteries with EMS.","GTO −0.5 — no operating collective arrangement in the case."),"")</f>
        <v>Battery +0.5 — several companies already operate batteries with EMS.</v>
      </c>
      <c r="M25" s="44"/>
    </row>
    <row r="26" spans="1:13" ht="76" customHeight="1">
      <c r="A26" s="39" t="s">
        <v>6</v>
      </c>
      <c r="B26" s="66" t="s">
        <v>36</v>
      </c>
      <c r="C26" s="67"/>
      <c r="D26" s="40">
        <f>INDEX('Public Inputs'!$C$6:$C$15,MATCH($B26,'Public Inputs'!$B$6:$B$15,0))</f>
        <v>0.15</v>
      </c>
      <c r="E26" s="39" t="str">
        <f>INDEX('Public Inputs'!$D$6:$D$15,MATCH($B26,'Public Inputs'!$B$6:$B$15,0))</f>
        <v>Local embeddedness</v>
      </c>
      <c r="F26" s="35">
        <f>SUMIFS('Public Inputs'!$K$28:$K$147,'Public Inputs'!$A$28:$A$147,$C$3,'Public Inputs'!$B$28:$B$147,$A26,'Public Inputs'!$C$28:$C$147,$B26,'Public Inputs'!$D$28:$D$147,F$21)</f>
        <v>4</v>
      </c>
      <c r="G26" s="35">
        <f>SUMIFS('Public Inputs'!$K$28:$K$147,'Public Inputs'!$A$28:$A$147,$C$3,'Public Inputs'!$B$28:$B$147,$A26,'Public Inputs'!$C$28:$C$147,$B26,'Public Inputs'!$D$28:$D$147,G$21)</f>
        <v>3</v>
      </c>
      <c r="H26" s="35">
        <f>SUMIFS('Public Inputs'!$K$28:$K$147,'Public Inputs'!$A$28:$A$147,$C$3,'Public Inputs'!$B$28:$B$147,$A26,'Public Inputs'!$C$28:$C$147,$B26,'Public Inputs'!$D$28:$D$147,H$21)</f>
        <v>2</v>
      </c>
      <c r="I26" s="35">
        <f>SUMIFS('Public Inputs'!$K$28:$K$147,'Public Inputs'!$A$28:$A$147,$C$3,'Public Inputs'!$B$28:$B$147,$A26,'Public Inputs'!$C$28:$C$147,$B26,'Public Inputs'!$D$28:$D$147,I$21)</f>
        <v>5</v>
      </c>
      <c r="J26" s="43" t="s">
        <v>389</v>
      </c>
      <c r="K26" s="44"/>
      <c r="L26" s="43" t="str">
        <f>IFERROR(CHOOSE(MATCH($C$3,{"Schouwen-Duiveland","Walcheren","West-Zeeuws-Vlaanderen"},0),"","",""),"")</f>
        <v/>
      </c>
      <c r="M26" s="44"/>
    </row>
    <row r="27" spans="1:13" ht="76" customHeight="1">
      <c r="A27" s="36" t="s">
        <v>7</v>
      </c>
      <c r="B27" s="64" t="s">
        <v>37</v>
      </c>
      <c r="C27" s="65"/>
      <c r="D27" s="37">
        <f>INDEX('Public Inputs'!$C$6:$C$15,MATCH($B27,'Public Inputs'!$B$6:$B$15,0))</f>
        <v>0.3</v>
      </c>
      <c r="E27" s="36" t="str">
        <f>INDEX('Public Inputs'!$D$6:$D$15,MATCH($B27,'Public Inputs'!$B$6:$B$15,0))</f>
        <v>Economic prospects</v>
      </c>
      <c r="F27" s="35">
        <f>SUMIFS('Public Inputs'!$K$28:$K$147,'Public Inputs'!$A$28:$A$147,$C$3,'Public Inputs'!$B$28:$B$147,$A27,'Public Inputs'!$C$28:$C$147,$B27,'Public Inputs'!$D$28:$D$147,F$21)</f>
        <v>2</v>
      </c>
      <c r="G27" s="35">
        <f>SUMIFS('Public Inputs'!$K$28:$K$147,'Public Inputs'!$A$28:$A$147,$C$3,'Public Inputs'!$B$28:$B$147,$A27,'Public Inputs'!$C$28:$C$147,$B27,'Public Inputs'!$D$28:$D$147,G$21)</f>
        <v>5</v>
      </c>
      <c r="H27" s="35">
        <f>SUMIFS('Public Inputs'!$K$28:$K$147,'Public Inputs'!$A$28:$A$147,$C$3,'Public Inputs'!$B$28:$B$147,$A27,'Public Inputs'!$C$28:$C$147,$B27,'Public Inputs'!$D$28:$D$147,H$21)</f>
        <v>4.5</v>
      </c>
      <c r="I27" s="35">
        <f>SUMIFS('Public Inputs'!$K$28:$K$147,'Public Inputs'!$A$28:$A$147,$C$3,'Public Inputs'!$B$28:$B$147,$A27,'Public Inputs'!$C$28:$C$147,$B27,'Public Inputs'!$D$28:$D$147,I$21)</f>
        <v>2</v>
      </c>
      <c r="J27" s="43" t="s">
        <v>390</v>
      </c>
      <c r="K27" s="44"/>
      <c r="L27" s="43" t="str">
        <f>IFERROR(CHOOSE(MATCH($C$3,{"Schouwen-Duiveland","Walcheren","West-Zeeuws-Vlaanderen"},0),"","Battery +0.5 — payback accepted where cost-neutral and capacity is delivered.   |   GTO +0.5 — clears the threshold without company capital expenditure.","Battery +0.5 — batteries already under consideration by companies.   |   GTO +0.5 — clears the threshold without company capital expenditure."),"")</f>
        <v>Battery +0.5 — payback accepted where cost-neutral and capacity is delivered.   |   GTO +0.5 — clears the threshold without company capital expenditure.</v>
      </c>
      <c r="M27" s="44"/>
    </row>
    <row r="28" spans="1:13" ht="76" customHeight="1">
      <c r="A28" s="36" t="s">
        <v>7</v>
      </c>
      <c r="B28" s="64" t="s">
        <v>38</v>
      </c>
      <c r="C28" s="65"/>
      <c r="D28" s="37">
        <f>INDEX('Public Inputs'!$C$6:$C$15,MATCH($B28,'Public Inputs'!$B$6:$B$15,0))</f>
        <v>0.2</v>
      </c>
      <c r="E28" s="36" t="str">
        <f>INDEX('Public Inputs'!$D$6:$D$15,MATCH($B28,'Public Inputs'!$B$6:$B$15,0))</f>
        <v>Feasibility</v>
      </c>
      <c r="F28" s="35">
        <f>SUMIFS('Public Inputs'!$K$28:$K$147,'Public Inputs'!$A$28:$A$147,$C$3,'Public Inputs'!$B$28:$B$147,$A28,'Public Inputs'!$C$28:$C$147,$B28,'Public Inputs'!$D$28:$D$147,F$21)</f>
        <v>1</v>
      </c>
      <c r="G28" s="35">
        <f>SUMIFS('Public Inputs'!$K$28:$K$147,'Public Inputs'!$A$28:$A$147,$C$3,'Public Inputs'!$B$28:$B$147,$A28,'Public Inputs'!$C$28:$C$147,$B28,'Public Inputs'!$D$28:$D$147,G$21)</f>
        <v>4.5</v>
      </c>
      <c r="H28" s="35">
        <f>SUMIFS('Public Inputs'!$K$28:$K$147,'Public Inputs'!$A$28:$A$147,$C$3,'Public Inputs'!$B$28:$B$147,$A28,'Public Inputs'!$C$28:$C$147,$B28,'Public Inputs'!$D$28:$D$147,H$21)</f>
        <v>3</v>
      </c>
      <c r="I28" s="35">
        <f>SUMIFS('Public Inputs'!$K$28:$K$147,'Public Inputs'!$A$28:$A$147,$C$3,'Public Inputs'!$B$28:$B$147,$A28,'Public Inputs'!$C$28:$C$147,$B28,'Public Inputs'!$D$28:$D$147,I$21)</f>
        <v>1</v>
      </c>
      <c r="J28" s="43" t="s">
        <v>391</v>
      </c>
      <c r="K28" s="44"/>
      <c r="L28" s="43" t="str">
        <f>IFERROR(CHOOSE(MATCH($C$3,{"Schouwen-Duiveland","Walcheren","West-Zeeuws-Vlaanderen"},0),"","Battery +0.5 — available well before the end of 2028.","Battery +0.5 — available before any reinforcement, which is undated here."),"")</f>
        <v>Battery +0.5 — available well before the end of 2028.</v>
      </c>
      <c r="M28" s="44"/>
    </row>
    <row r="29" spans="1:13" ht="84" customHeight="1">
      <c r="A29" s="36" t="s">
        <v>7</v>
      </c>
      <c r="B29" s="64" t="s">
        <v>39</v>
      </c>
      <c r="C29" s="65"/>
      <c r="D29" s="37">
        <f>INDEX('Public Inputs'!$C$6:$C$15,MATCH($B29,'Public Inputs'!$B$6:$B$15,0))</f>
        <v>0.2</v>
      </c>
      <c r="E29" s="36" t="str">
        <f>INDEX('Public Inputs'!$D$6:$D$15,MATCH($B29,'Public Inputs'!$B$6:$B$15,0))</f>
        <v>Scalability + feasibility</v>
      </c>
      <c r="F29" s="35">
        <f>SUMIFS('Public Inputs'!$K$28:$K$147,'Public Inputs'!$A$28:$A$147,$C$3,'Public Inputs'!$B$28:$B$147,$A29,'Public Inputs'!$C$28:$C$147,$B29,'Public Inputs'!$D$28:$D$147,F$21)</f>
        <v>4</v>
      </c>
      <c r="G29" s="35">
        <f>SUMIFS('Public Inputs'!$K$28:$K$147,'Public Inputs'!$A$28:$A$147,$C$3,'Public Inputs'!$B$28:$B$147,$A29,'Public Inputs'!$C$28:$C$147,$B29,'Public Inputs'!$D$28:$D$147,G$21)</f>
        <v>3.5</v>
      </c>
      <c r="H29" s="35">
        <f>SUMIFS('Public Inputs'!$K$28:$K$147,'Public Inputs'!$A$28:$A$147,$C$3,'Public Inputs'!$B$28:$B$147,$A29,'Public Inputs'!$C$28:$C$147,$B29,'Public Inputs'!$D$28:$D$147,H$21)</f>
        <v>1.5</v>
      </c>
      <c r="I29" s="35">
        <f>SUMIFS('Public Inputs'!$K$28:$K$147,'Public Inputs'!$A$28:$A$147,$C$3,'Public Inputs'!$B$28:$B$147,$A29,'Public Inputs'!$C$28:$C$147,$B29,'Public Inputs'!$D$28:$D$147,I$21)</f>
        <v>5</v>
      </c>
      <c r="J29" s="43" t="s">
        <v>392</v>
      </c>
      <c r="K29" s="44"/>
      <c r="L29" s="43" t="str">
        <f>IFERROR(CHOOSE(MATCH($C$3,{"Schouwen-Duiveland","Walcheren","West-Zeeuws-Vlaanderen"},0),"GTO +0.5 — regional groups and proactive municipal facilitation lower the coordination burden.","Battery +0.5 — battery and EMS operation already established locally.   |   GTO −0.5 — collective work is company-led; coordination falls on the companies.","GTO −0.5 — requires new cooperation and governance that is absent."),"")</f>
        <v>Battery +0.5 — battery and EMS operation already established locally.   |   GTO −0.5 — collective work is company-led; coordination falls on the companies.</v>
      </c>
      <c r="M29" s="44"/>
    </row>
    <row r="30" spans="1:13" ht="76" customHeight="1">
      <c r="A30" s="36" t="s">
        <v>7</v>
      </c>
      <c r="B30" s="64" t="s">
        <v>40</v>
      </c>
      <c r="C30" s="65"/>
      <c r="D30" s="37">
        <f>INDEX('Public Inputs'!$C$6:$C$15,MATCH($B30,'Public Inputs'!$B$6:$B$15,0))</f>
        <v>0.15</v>
      </c>
      <c r="E30" s="36" t="str">
        <f>INDEX('Public Inputs'!$D$6:$D$15,MATCH($B30,'Public Inputs'!$B$6:$B$15,0))</f>
        <v>Regional relatedness + local embeddedness</v>
      </c>
      <c r="F30" s="35">
        <f>SUMIFS('Public Inputs'!$K$28:$K$147,'Public Inputs'!$A$28:$A$147,$C$3,'Public Inputs'!$B$28:$B$147,$A30,'Public Inputs'!$C$28:$C$147,$B30,'Public Inputs'!$D$28:$D$147,F$21)</f>
        <v>3</v>
      </c>
      <c r="G30" s="35">
        <f>SUMIFS('Public Inputs'!$K$28:$K$147,'Public Inputs'!$A$28:$A$147,$C$3,'Public Inputs'!$B$28:$B$147,$A30,'Public Inputs'!$C$28:$C$147,$B30,'Public Inputs'!$D$28:$D$147,G$21)</f>
        <v>5</v>
      </c>
      <c r="H30" s="35">
        <f>SUMIFS('Public Inputs'!$K$28:$K$147,'Public Inputs'!$A$28:$A$147,$C$3,'Public Inputs'!$B$28:$B$147,$A30,'Public Inputs'!$C$28:$C$147,$B30,'Public Inputs'!$D$28:$D$147,H$21)</f>
        <v>2</v>
      </c>
      <c r="I30" s="35">
        <f>SUMIFS('Public Inputs'!$K$28:$K$147,'Public Inputs'!$A$28:$A$147,$C$3,'Public Inputs'!$B$28:$B$147,$A30,'Public Inputs'!$C$28:$C$147,$B30,'Public Inputs'!$D$28:$D$147,I$21)</f>
        <v>5</v>
      </c>
      <c r="J30" s="43" t="s">
        <v>393</v>
      </c>
      <c r="K30" s="44"/>
      <c r="L30" s="43" t="str">
        <f>IFERROR(CHOOSE(MATCH($C$3,{"Schouwen-Duiveland","Walcheren","West-Zeeuws-Vlaanderen"},0),"GTO +0.5 — existing cooperation lowers the dependency objection.","","GTO −0.5 — chain parks decide centrally; a collective adds dependency."),"")</f>
        <v/>
      </c>
      <c r="M30" s="44"/>
    </row>
    <row r="31" spans="1:13" ht="76" customHeight="1">
      <c r="A31" s="36" t="s">
        <v>7</v>
      </c>
      <c r="B31" s="64" t="s">
        <v>41</v>
      </c>
      <c r="C31" s="65"/>
      <c r="D31" s="37">
        <f>INDEX('Public Inputs'!$C$6:$C$15,MATCH($B31,'Public Inputs'!$B$6:$B$15,0))</f>
        <v>0.15</v>
      </c>
      <c r="E31" s="36" t="str">
        <f>INDEX('Public Inputs'!$D$6:$D$15,MATCH($B31,'Public Inputs'!$B$6:$B$15,0))</f>
        <v>Climate and energy impacts</v>
      </c>
      <c r="F31" s="35">
        <f>SUMIFS('Public Inputs'!$K$28:$K$147,'Public Inputs'!$A$28:$A$147,$C$3,'Public Inputs'!$B$28:$B$147,$A31,'Public Inputs'!$C$28:$C$147,$B31,'Public Inputs'!$D$28:$D$147,F$21)</f>
        <v>3</v>
      </c>
      <c r="G31" s="35">
        <f>SUMIFS('Public Inputs'!$K$28:$K$147,'Public Inputs'!$A$28:$A$147,$C$3,'Public Inputs'!$B$28:$B$147,$A31,'Public Inputs'!$C$28:$C$147,$B31,'Public Inputs'!$D$28:$D$147,G$21)</f>
        <v>4</v>
      </c>
      <c r="H31" s="35">
        <f>SUMIFS('Public Inputs'!$K$28:$K$147,'Public Inputs'!$A$28:$A$147,$C$3,'Public Inputs'!$B$28:$B$147,$A31,'Public Inputs'!$C$28:$C$147,$B31,'Public Inputs'!$D$28:$D$147,H$21)</f>
        <v>5</v>
      </c>
      <c r="I31" s="35">
        <f>SUMIFS('Public Inputs'!$K$28:$K$147,'Public Inputs'!$A$28:$A$147,$C$3,'Public Inputs'!$B$28:$B$147,$A31,'Public Inputs'!$C$28:$C$147,$B31,'Public Inputs'!$D$28:$D$147,I$21)</f>
        <v>1</v>
      </c>
      <c r="J31" s="43" t="s">
        <v>394</v>
      </c>
      <c r="K31" s="44"/>
      <c r="L31" s="43" t="str">
        <f>IFERROR(CHOOSE(MATCH($C$3,{"Schouwen-Duiveland","Walcheren","West-Zeeuws-Vlaanderen"},0),"","",""),"")</f>
        <v/>
      </c>
      <c r="M31" s="44"/>
    </row>
    <row r="33" spans="1:13" ht="15" customHeight="1">
      <c r="A33" s="86" t="s">
        <v>42</v>
      </c>
      <c r="B33" s="86"/>
      <c r="C33" s="86"/>
      <c r="D33" s="86"/>
      <c r="E33" s="86"/>
      <c r="F33" s="86"/>
      <c r="G33" s="86"/>
      <c r="H33" s="86"/>
      <c r="I33" s="86"/>
      <c r="J33" s="86"/>
      <c r="K33" s="86"/>
      <c r="L33" s="86"/>
      <c r="M33" s="86"/>
    </row>
    <row r="34" spans="1:13" ht="30" customHeight="1">
      <c r="A34" s="84" t="s">
        <v>43</v>
      </c>
      <c r="B34" s="85"/>
      <c r="C34" s="85"/>
      <c r="D34" s="85"/>
      <c r="E34" s="85"/>
      <c r="F34" s="85"/>
      <c r="G34" s="85"/>
      <c r="H34" s="85"/>
      <c r="I34" s="85"/>
      <c r="J34" s="85"/>
      <c r="K34" s="85"/>
      <c r="L34" s="85"/>
      <c r="M34" s="85"/>
    </row>
    <row r="35" spans="1:13" ht="33" customHeight="1">
      <c r="A35" s="84" t="s">
        <v>44</v>
      </c>
      <c r="B35" s="85"/>
      <c r="C35" s="85"/>
      <c r="D35" s="85"/>
      <c r="E35" s="85"/>
      <c r="F35" s="85"/>
      <c r="G35" s="85"/>
      <c r="H35" s="85"/>
      <c r="I35" s="85"/>
      <c r="J35" s="85"/>
      <c r="K35" s="85"/>
      <c r="L35" s="85"/>
      <c r="M35" s="85"/>
    </row>
    <row r="36" spans="1:13" ht="34" customHeight="1">
      <c r="A36" s="84" t="s">
        <v>45</v>
      </c>
      <c r="B36" s="85"/>
      <c r="C36" s="85"/>
      <c r="D36" s="85"/>
      <c r="E36" s="85"/>
      <c r="F36" s="85"/>
      <c r="G36" s="85"/>
      <c r="H36" s="85"/>
      <c r="I36" s="85"/>
      <c r="J36" s="85"/>
      <c r="K36" s="85"/>
      <c r="L36" s="85"/>
      <c r="M36" s="85"/>
    </row>
    <row r="37" spans="1:13" ht="38" customHeight="1">
      <c r="A37" s="84" t="s">
        <v>46</v>
      </c>
      <c r="B37" s="85"/>
      <c r="C37" s="85"/>
      <c r="D37" s="85"/>
      <c r="E37" s="85"/>
      <c r="F37" s="85"/>
      <c r="G37" s="85"/>
      <c r="H37" s="85"/>
      <c r="I37" s="85"/>
      <c r="J37" s="85"/>
      <c r="K37" s="85"/>
      <c r="L37" s="85"/>
      <c r="M37" s="85"/>
    </row>
  </sheetData>
  <mergeCells count="87">
    <mergeCell ref="A34:M34"/>
    <mergeCell ref="A35:M35"/>
    <mergeCell ref="A36:M36"/>
    <mergeCell ref="A37:M37"/>
    <mergeCell ref="J30:K30"/>
    <mergeCell ref="L30:M30"/>
    <mergeCell ref="J31:K31"/>
    <mergeCell ref="L31:M31"/>
    <mergeCell ref="A33:M33"/>
    <mergeCell ref="B31:C31"/>
    <mergeCell ref="B30:C30"/>
    <mergeCell ref="J29:K29"/>
    <mergeCell ref="L29:M29"/>
    <mergeCell ref="B24:C24"/>
    <mergeCell ref="B25:C25"/>
    <mergeCell ref="B29:C29"/>
    <mergeCell ref="L25:M25"/>
    <mergeCell ref="A1:L1"/>
    <mergeCell ref="A6:C6"/>
    <mergeCell ref="A7:C7"/>
    <mergeCell ref="J26:K26"/>
    <mergeCell ref="L26:M26"/>
    <mergeCell ref="A9:C9"/>
    <mergeCell ref="A14:B14"/>
    <mergeCell ref="G14:H14"/>
    <mergeCell ref="I14:J14"/>
    <mergeCell ref="A17:B17"/>
    <mergeCell ref="E16:F16"/>
    <mergeCell ref="H5:L6"/>
    <mergeCell ref="A3:B3"/>
    <mergeCell ref="H8:L9"/>
    <mergeCell ref="A12:B12"/>
    <mergeCell ref="C12:D12"/>
    <mergeCell ref="J27:K27"/>
    <mergeCell ref="L27:M27"/>
    <mergeCell ref="J28:K28"/>
    <mergeCell ref="L28:M28"/>
    <mergeCell ref="A20:M20"/>
    <mergeCell ref="L24:M24"/>
    <mergeCell ref="J25:K25"/>
    <mergeCell ref="L21:M21"/>
    <mergeCell ref="J22:K22"/>
    <mergeCell ref="L22:M22"/>
    <mergeCell ref="B26:C26"/>
    <mergeCell ref="J21:K21"/>
    <mergeCell ref="J24:K24"/>
    <mergeCell ref="B28:C28"/>
    <mergeCell ref="B23:C23"/>
    <mergeCell ref="B22:C22"/>
    <mergeCell ref="B27:C27"/>
    <mergeCell ref="E12:F12"/>
    <mergeCell ref="A13:B13"/>
    <mergeCell ref="C13:D13"/>
    <mergeCell ref="C15:D15"/>
    <mergeCell ref="C17:L17"/>
    <mergeCell ref="K16:L16"/>
    <mergeCell ref="A15:B15"/>
    <mergeCell ref="C14:D14"/>
    <mergeCell ref="E14:F14"/>
    <mergeCell ref="A18:L18"/>
    <mergeCell ref="H7:L7"/>
    <mergeCell ref="E15:F15"/>
    <mergeCell ref="G15:H15"/>
    <mergeCell ref="G12:H12"/>
    <mergeCell ref="A11:L11"/>
    <mergeCell ref="I12:J12"/>
    <mergeCell ref="K12:L12"/>
    <mergeCell ref="I13:J13"/>
    <mergeCell ref="K14:L14"/>
    <mergeCell ref="I15:J15"/>
    <mergeCell ref="K15:L15"/>
    <mergeCell ref="G16:H16"/>
    <mergeCell ref="J23:K23"/>
    <mergeCell ref="L23:M23"/>
    <mergeCell ref="H4:L4"/>
    <mergeCell ref="A2:L2"/>
    <mergeCell ref="B21:C21"/>
    <mergeCell ref="A16:B16"/>
    <mergeCell ref="C16:D16"/>
    <mergeCell ref="A5:C5"/>
    <mergeCell ref="I16:J16"/>
    <mergeCell ref="A8:C8"/>
    <mergeCell ref="C3:L3"/>
    <mergeCell ref="K13:L13"/>
    <mergeCell ref="E13:F13"/>
    <mergeCell ref="A4:F4"/>
    <mergeCell ref="G13:H13"/>
  </mergeCells>
  <conditionalFormatting sqref="F22:I31">
    <cfRule type="colorScale" priority="1">
      <colorScale>
        <cfvo type="min"/>
        <cfvo type="percentile" val="50"/>
        <cfvo type="max"/>
        <color rgb="FFF8696B"/>
        <color rgb="FFFFEB84"/>
        <color rgb="FF63BE7B"/>
      </colorScale>
    </cfRule>
  </conditionalFormatting>
  <dataValidations count="1">
    <dataValidation type="list" sqref="C3" xr:uid="{00000000-0002-0000-0000-000000000000}">
      <formula1>"Schouwen-Duiveland,Walcheren,West-Zeeuws-Vlaanderen"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47"/>
  <sheetViews>
    <sheetView showGridLines="0" topLeftCell="A144" zoomScale="68" zoomScaleNormal="100" workbookViewId="0">
      <selection activeCell="F6" sqref="F6"/>
    </sheetView>
  </sheetViews>
  <sheetFormatPr baseColWidth="10" defaultColWidth="8.83203125" defaultRowHeight="14"/>
  <cols>
    <col min="1" max="1" width="23" customWidth="1"/>
    <col min="2" max="2" width="38" customWidth="1"/>
    <col min="3" max="3" width="12" customWidth="1"/>
    <col min="4" max="4" width="31" customWidth="1"/>
    <col min="5" max="5" width="22" customWidth="1"/>
    <col min="6" max="7" width="30" customWidth="1"/>
    <col min="8" max="8" width="58" customWidth="1"/>
    <col min="9" max="12" width="16" customWidth="1"/>
    <col min="13" max="13" width="34" customWidth="1"/>
    <col min="14" max="14" width="25" customWidth="1"/>
    <col min="15" max="15" width="31" customWidth="1"/>
    <col min="16" max="16" width="16" customWidth="1"/>
    <col min="17" max="17" width="24.5" customWidth="1"/>
    <col min="18" max="18" width="16" customWidth="1"/>
    <col min="19" max="19" width="24" customWidth="1"/>
    <col min="20" max="20" width="47" customWidth="1"/>
    <col min="22" max="37" width="26" customWidth="1"/>
  </cols>
  <sheetData>
    <row r="1" spans="1:20" ht="28" customHeight="1">
      <c r="A1" s="87" t="s">
        <v>47</v>
      </c>
      <c r="B1" s="46"/>
      <c r="C1" s="46"/>
      <c r="D1" s="46"/>
      <c r="E1" s="46"/>
      <c r="F1" s="46"/>
      <c r="G1" s="46"/>
      <c r="H1" s="46"/>
      <c r="I1" s="46"/>
      <c r="J1" s="46"/>
      <c r="K1" s="46"/>
      <c r="L1" s="46"/>
      <c r="M1" s="46"/>
      <c r="N1" s="46"/>
      <c r="O1" s="46"/>
      <c r="P1" s="46"/>
      <c r="Q1" s="46"/>
      <c r="R1" s="46"/>
      <c r="S1" s="46"/>
      <c r="T1" s="46"/>
    </row>
    <row r="2" spans="1:20" ht="28" customHeight="1">
      <c r="A2" s="94" t="s">
        <v>48</v>
      </c>
      <c r="B2" s="46"/>
      <c r="C2" s="46"/>
      <c r="D2" s="46"/>
      <c r="E2" s="46"/>
      <c r="F2" s="46"/>
      <c r="G2" s="46"/>
      <c r="H2" s="46"/>
      <c r="I2" s="46"/>
      <c r="J2" s="46"/>
      <c r="K2" s="46"/>
      <c r="L2" s="46"/>
      <c r="M2" s="46"/>
      <c r="N2" s="46"/>
      <c r="O2" s="46"/>
      <c r="P2" s="46"/>
      <c r="Q2" s="46"/>
      <c r="R2" s="46"/>
      <c r="S2" s="46"/>
      <c r="T2" s="46"/>
    </row>
    <row r="4" spans="1:20" ht="16" customHeight="1">
      <c r="A4" s="96" t="s">
        <v>49</v>
      </c>
      <c r="B4" s="46"/>
      <c r="C4" s="46"/>
      <c r="D4" s="46"/>
      <c r="E4" s="46"/>
      <c r="F4" s="46"/>
      <c r="G4" s="46"/>
      <c r="H4" s="46"/>
      <c r="I4" s="46"/>
      <c r="N4" s="96" t="s">
        <v>50</v>
      </c>
      <c r="O4" s="46"/>
      <c r="P4" s="46"/>
      <c r="Q4" s="46"/>
      <c r="R4" s="46"/>
      <c r="S4" s="46"/>
      <c r="T4" s="46"/>
    </row>
    <row r="5" spans="1:20" ht="42" customHeight="1">
      <c r="A5" s="1" t="s">
        <v>28</v>
      </c>
      <c r="B5" s="1" t="s">
        <v>29</v>
      </c>
      <c r="C5" s="1" t="s">
        <v>30</v>
      </c>
      <c r="D5" s="1" t="s">
        <v>31</v>
      </c>
      <c r="E5" s="1" t="s">
        <v>51</v>
      </c>
      <c r="F5" s="1" t="s">
        <v>9</v>
      </c>
      <c r="G5" s="1" t="s">
        <v>10</v>
      </c>
      <c r="H5" s="1" t="s">
        <v>11</v>
      </c>
      <c r="I5" s="1" t="s">
        <v>12</v>
      </c>
      <c r="N5" s="1" t="s">
        <v>52</v>
      </c>
      <c r="O5" s="1" t="s">
        <v>5</v>
      </c>
      <c r="P5" s="1" t="s">
        <v>53</v>
      </c>
      <c r="Q5" s="1" t="s">
        <v>54</v>
      </c>
      <c r="R5" s="1" t="s">
        <v>8</v>
      </c>
      <c r="S5" s="1" t="s">
        <v>55</v>
      </c>
      <c r="T5" s="1" t="s">
        <v>56</v>
      </c>
    </row>
    <row r="6" spans="1:20" s="5" customFormat="1" ht="96" customHeight="1">
      <c r="A6" s="8" t="s">
        <v>6</v>
      </c>
      <c r="B6" s="8" t="s">
        <v>32</v>
      </c>
      <c r="C6" s="9">
        <v>0.3</v>
      </c>
      <c r="D6" s="8" t="s">
        <v>57</v>
      </c>
      <c r="E6" s="8" t="s">
        <v>58</v>
      </c>
      <c r="F6" s="14">
        <v>2</v>
      </c>
      <c r="G6" s="14">
        <v>4</v>
      </c>
      <c r="H6" s="14">
        <v>4</v>
      </c>
      <c r="I6" s="14">
        <v>5</v>
      </c>
      <c r="N6" s="10" t="s">
        <v>2</v>
      </c>
      <c r="O6" s="10" t="s">
        <v>9</v>
      </c>
      <c r="P6" s="19">
        <f t="shared" ref="P6:P17" si="0">SUMIFS($L$28:$L$147,$A$28:$A$147,$N6,$B$28:$B$147,"Grid operator",$D$28:$D$147,$O6)/SUMIFS($J$28:$J$147,$A$28:$A$147,$N6,$B$28:$B$147,"Grid operator",$D$28:$D$147,$O6)</f>
        <v>2.85</v>
      </c>
      <c r="Q6" s="19">
        <f t="shared" ref="Q6:Q17" si="1">SUMIFS($L$28:$L$147,$A$28:$A$147,$N6,$B$28:$B$147,"Company",$D$28:$D$147,$O6)/SUMIFS($J$28:$J$147,$A$28:$A$147,$N6,$B$28:$B$147,"Company",$D$28:$D$147,$O6)</f>
        <v>2.5</v>
      </c>
      <c r="R6" s="19">
        <f t="shared" ref="R6:R17" si="2">(P6+Q6)/2</f>
        <v>2.6749999999999998</v>
      </c>
      <c r="S6" s="10" t="str">
        <f>IF(R6=MAX(INDEX($R$6:$R$17,MATCH(N6,$N$6:$N$17,0)):INDEX($R$6:$R$17,MATCH(N6,$N$6:$N$17,0)+3)),"Preferred response option","-")</f>
        <v>-</v>
      </c>
      <c r="T6" s="10" t="s">
        <v>59</v>
      </c>
    </row>
    <row r="7" spans="1:20" s="5" customFormat="1" ht="80" customHeight="1">
      <c r="A7" s="8" t="s">
        <v>6</v>
      </c>
      <c r="B7" s="8" t="s">
        <v>33</v>
      </c>
      <c r="C7" s="9">
        <v>0.2</v>
      </c>
      <c r="D7" s="8" t="s">
        <v>60</v>
      </c>
      <c r="E7" s="8" t="s">
        <v>61</v>
      </c>
      <c r="F7" s="14">
        <v>4</v>
      </c>
      <c r="G7" s="14">
        <v>2</v>
      </c>
      <c r="H7" s="14">
        <v>3</v>
      </c>
      <c r="I7" s="14">
        <v>1</v>
      </c>
      <c r="N7" s="10" t="s">
        <v>2</v>
      </c>
      <c r="O7" s="10" t="s">
        <v>10</v>
      </c>
      <c r="P7" s="19">
        <f t="shared" si="0"/>
        <v>3.6500000000000004</v>
      </c>
      <c r="Q7" s="19">
        <f t="shared" si="1"/>
        <v>4.25</v>
      </c>
      <c r="R7" s="19">
        <f t="shared" si="2"/>
        <v>3.95</v>
      </c>
      <c r="S7" s="10" t="str">
        <f>IF(R7=MAX(INDEX($R$6:$R$17,MATCH(N7,$N$6:$N$17,0)):INDEX($R$6:$R$17,MATCH(N7,$N$6:$N$17,0)+3)),"Preferred response option","-")</f>
        <v>Preferred response option</v>
      </c>
      <c r="T7" s="10" t="s">
        <v>62</v>
      </c>
    </row>
    <row r="8" spans="1:20" s="5" customFormat="1" ht="64" customHeight="1">
      <c r="A8" s="8" t="s">
        <v>6</v>
      </c>
      <c r="B8" s="8" t="s">
        <v>34</v>
      </c>
      <c r="C8" s="9">
        <v>0.2</v>
      </c>
      <c r="D8" s="8" t="s">
        <v>63</v>
      </c>
      <c r="E8" s="8" t="s">
        <v>64</v>
      </c>
      <c r="F8" s="14">
        <v>1</v>
      </c>
      <c r="G8" s="14">
        <v>5</v>
      </c>
      <c r="H8" s="14">
        <v>3</v>
      </c>
      <c r="I8" s="14">
        <v>2</v>
      </c>
      <c r="N8" s="10" t="s">
        <v>2</v>
      </c>
      <c r="O8" s="10" t="s">
        <v>11</v>
      </c>
      <c r="P8" s="19">
        <f t="shared" si="0"/>
        <v>3.0750000000000002</v>
      </c>
      <c r="Q8" s="19">
        <f t="shared" si="1"/>
        <v>3.4249999999999998</v>
      </c>
      <c r="R8" s="19">
        <f t="shared" si="2"/>
        <v>3.25</v>
      </c>
      <c r="S8" s="10" t="str">
        <f>IF(R8=MAX(INDEX($R$6:$R$17,MATCH(N8,$N$6:$N$17,0)):INDEX($R$6:$R$17,MATCH(N8,$N$6:$N$17,0)+3)),"Preferred response option","-")</f>
        <v>-</v>
      </c>
      <c r="T8" s="10" t="s">
        <v>65</v>
      </c>
    </row>
    <row r="9" spans="1:20" s="5" customFormat="1" ht="64" customHeight="1">
      <c r="A9" s="8" t="s">
        <v>6</v>
      </c>
      <c r="B9" s="8" t="s">
        <v>35</v>
      </c>
      <c r="C9" s="9">
        <v>0.15</v>
      </c>
      <c r="D9" s="8" t="s">
        <v>60</v>
      </c>
      <c r="E9" s="8" t="s">
        <v>66</v>
      </c>
      <c r="F9" s="14">
        <v>5</v>
      </c>
      <c r="G9" s="14">
        <v>4</v>
      </c>
      <c r="H9" s="14">
        <v>2</v>
      </c>
      <c r="I9" s="14">
        <v>2</v>
      </c>
      <c r="N9" s="10" t="s">
        <v>2</v>
      </c>
      <c r="O9" s="10" t="s">
        <v>12</v>
      </c>
      <c r="P9" s="19">
        <f t="shared" si="0"/>
        <v>3.05</v>
      </c>
      <c r="Q9" s="19">
        <f t="shared" si="1"/>
        <v>2.6999999999999997</v>
      </c>
      <c r="R9" s="19">
        <f t="shared" si="2"/>
        <v>2.875</v>
      </c>
      <c r="S9" s="10" t="str">
        <f>IF(R9=MAX(INDEX($R$6:$R$17,MATCH(N9,$N$6:$N$17,0)):INDEX($R$6:$R$17,MATCH(N9,$N$6:$N$17,0)+3)),"Preferred response option","-")</f>
        <v>-</v>
      </c>
      <c r="T9" s="10" t="s">
        <v>67</v>
      </c>
    </row>
    <row r="10" spans="1:20" s="5" customFormat="1" ht="48" customHeight="1">
      <c r="A10" s="8" t="s">
        <v>6</v>
      </c>
      <c r="B10" s="8" t="s">
        <v>36</v>
      </c>
      <c r="C10" s="9">
        <v>0.15</v>
      </c>
      <c r="D10" s="8" t="s">
        <v>68</v>
      </c>
      <c r="E10" s="8" t="s">
        <v>69</v>
      </c>
      <c r="F10" s="14">
        <v>4</v>
      </c>
      <c r="G10" s="14">
        <v>3</v>
      </c>
      <c r="H10" s="14">
        <v>2</v>
      </c>
      <c r="I10" s="14">
        <v>5</v>
      </c>
      <c r="N10" s="10" t="s">
        <v>70</v>
      </c>
      <c r="O10" s="10" t="s">
        <v>9</v>
      </c>
      <c r="P10" s="19">
        <f t="shared" si="0"/>
        <v>2.85</v>
      </c>
      <c r="Q10" s="19">
        <f t="shared" si="1"/>
        <v>2.5</v>
      </c>
      <c r="R10" s="19">
        <f t="shared" si="2"/>
        <v>2.6749999999999998</v>
      </c>
      <c r="S10" s="10" t="str">
        <f>IF(R10=MAX(INDEX($R$6:$R$17,MATCH(N10,$N$6:$N$17,0)):INDEX($R$6:$R$17,MATCH(N10,$N$6:$N$17,0)+3)),"Preferred response option","-")</f>
        <v>-</v>
      </c>
      <c r="T10" s="10" t="s">
        <v>71</v>
      </c>
    </row>
    <row r="11" spans="1:20" s="5" customFormat="1" ht="80" customHeight="1">
      <c r="A11" s="11" t="s">
        <v>7</v>
      </c>
      <c r="B11" s="11" t="s">
        <v>37</v>
      </c>
      <c r="C11" s="9">
        <v>0.3</v>
      </c>
      <c r="D11" s="11" t="s">
        <v>57</v>
      </c>
      <c r="E11" s="11" t="s">
        <v>72</v>
      </c>
      <c r="F11" s="14">
        <v>2</v>
      </c>
      <c r="G11" s="14">
        <v>5</v>
      </c>
      <c r="H11" s="14">
        <v>4</v>
      </c>
      <c r="I11" s="14">
        <v>2</v>
      </c>
      <c r="N11" s="10" t="s">
        <v>70</v>
      </c>
      <c r="O11" s="10" t="s">
        <v>10</v>
      </c>
      <c r="P11" s="19">
        <f t="shared" si="0"/>
        <v>3.9749999999999996</v>
      </c>
      <c r="Q11" s="19">
        <f t="shared" si="1"/>
        <v>4.45</v>
      </c>
      <c r="R11" s="19">
        <f t="shared" si="2"/>
        <v>4.2125000000000004</v>
      </c>
      <c r="S11" s="10" t="str">
        <f>IF(R11=MAX(INDEX($R$6:$R$17,MATCH(N11,$N$6:$N$17,0)):INDEX($R$6:$R$17,MATCH(N11,$N$6:$N$17,0)+3)),"Preferred response option","-")</f>
        <v>Preferred response option</v>
      </c>
      <c r="T11" s="10" t="s">
        <v>73</v>
      </c>
    </row>
    <row r="12" spans="1:20" s="5" customFormat="1" ht="64" customHeight="1">
      <c r="A12" s="11" t="s">
        <v>7</v>
      </c>
      <c r="B12" s="11" t="s">
        <v>38</v>
      </c>
      <c r="C12" s="9">
        <v>0.2</v>
      </c>
      <c r="D12" s="11" t="s">
        <v>63</v>
      </c>
      <c r="E12" s="11" t="s">
        <v>74</v>
      </c>
      <c r="F12" s="14">
        <v>1</v>
      </c>
      <c r="G12" s="14">
        <v>4</v>
      </c>
      <c r="H12" s="14">
        <v>3</v>
      </c>
      <c r="I12" s="14">
        <v>1</v>
      </c>
      <c r="N12" s="10" t="s">
        <v>70</v>
      </c>
      <c r="O12" s="10" t="s">
        <v>11</v>
      </c>
      <c r="P12" s="19">
        <f t="shared" si="0"/>
        <v>3.05</v>
      </c>
      <c r="Q12" s="19">
        <f t="shared" si="1"/>
        <v>3.3</v>
      </c>
      <c r="R12" s="19">
        <f t="shared" si="2"/>
        <v>3.1749999999999998</v>
      </c>
      <c r="S12" s="10" t="str">
        <f>IF(R12=MAX(INDEX($R$6:$R$17,MATCH(N12,$N$6:$N$17,0)):INDEX($R$6:$R$17,MATCH(N12,$N$6:$N$17,0)+3)),"Preferred response option","-")</f>
        <v>-</v>
      </c>
      <c r="T12" s="10" t="s">
        <v>75</v>
      </c>
    </row>
    <row r="13" spans="1:20" s="5" customFormat="1" ht="64" customHeight="1">
      <c r="A13" s="11" t="s">
        <v>7</v>
      </c>
      <c r="B13" s="11" t="s">
        <v>39</v>
      </c>
      <c r="C13" s="9">
        <v>0.2</v>
      </c>
      <c r="D13" s="11" t="s">
        <v>76</v>
      </c>
      <c r="E13" s="11" t="s">
        <v>77</v>
      </c>
      <c r="F13" s="14">
        <v>4</v>
      </c>
      <c r="G13" s="14">
        <v>3</v>
      </c>
      <c r="H13" s="14">
        <v>2</v>
      </c>
      <c r="I13" s="14">
        <v>5</v>
      </c>
      <c r="N13" s="10" t="s">
        <v>70</v>
      </c>
      <c r="O13" s="10" t="s">
        <v>12</v>
      </c>
      <c r="P13" s="19">
        <f t="shared" si="0"/>
        <v>3.05</v>
      </c>
      <c r="Q13" s="19">
        <f t="shared" si="1"/>
        <v>2.6999999999999997</v>
      </c>
      <c r="R13" s="19">
        <f t="shared" si="2"/>
        <v>2.875</v>
      </c>
      <c r="S13" s="10" t="str">
        <f>IF(R13=MAX(INDEX($R$6:$R$17,MATCH(N13,$N$6:$N$17,0)):INDEX($R$6:$R$17,MATCH(N13,$N$6:$N$17,0)+3)),"Preferred response option","-")</f>
        <v>-</v>
      </c>
      <c r="T13" s="10" t="s">
        <v>78</v>
      </c>
    </row>
    <row r="14" spans="1:20" s="5" customFormat="1" ht="64" customHeight="1">
      <c r="A14" s="11" t="s">
        <v>7</v>
      </c>
      <c r="B14" s="11" t="s">
        <v>40</v>
      </c>
      <c r="C14" s="9">
        <v>0.15</v>
      </c>
      <c r="D14" s="11" t="s">
        <v>79</v>
      </c>
      <c r="E14" s="11" t="s">
        <v>80</v>
      </c>
      <c r="F14" s="14">
        <v>3</v>
      </c>
      <c r="G14" s="14">
        <v>5</v>
      </c>
      <c r="H14" s="14">
        <v>2</v>
      </c>
      <c r="I14" s="14">
        <v>5</v>
      </c>
      <c r="N14" s="10" t="s">
        <v>81</v>
      </c>
      <c r="O14" s="10" t="s">
        <v>9</v>
      </c>
      <c r="P14" s="19">
        <f t="shared" si="0"/>
        <v>2.85</v>
      </c>
      <c r="Q14" s="19">
        <f t="shared" si="1"/>
        <v>2.5</v>
      </c>
      <c r="R14" s="19">
        <f t="shared" si="2"/>
        <v>2.6749999999999998</v>
      </c>
      <c r="S14" s="10" t="str">
        <f>IF(R14=MAX(INDEX($R$6:$R$17,MATCH(N14,$N$6:$N$17,0)):INDEX($R$6:$R$17,MATCH(N14,$N$6:$N$17,0)+3)),"Preferred response option","-")</f>
        <v>-</v>
      </c>
      <c r="T14" s="10" t="s">
        <v>82</v>
      </c>
    </row>
    <row r="15" spans="1:20" s="5" customFormat="1" ht="48" customHeight="1">
      <c r="A15" s="11" t="s">
        <v>7</v>
      </c>
      <c r="B15" s="11" t="s">
        <v>41</v>
      </c>
      <c r="C15" s="9">
        <v>0.15</v>
      </c>
      <c r="D15" s="11" t="s">
        <v>83</v>
      </c>
      <c r="E15" s="11" t="s">
        <v>84</v>
      </c>
      <c r="F15" s="14">
        <v>3</v>
      </c>
      <c r="G15" s="14">
        <v>4</v>
      </c>
      <c r="H15" s="14">
        <v>5</v>
      </c>
      <c r="I15" s="14">
        <v>1</v>
      </c>
      <c r="N15" s="10" t="s">
        <v>81</v>
      </c>
      <c r="O15" s="10" t="s">
        <v>10</v>
      </c>
      <c r="P15" s="19">
        <f t="shared" si="0"/>
        <v>3.8</v>
      </c>
      <c r="Q15" s="19">
        <f t="shared" si="1"/>
        <v>4.3499999999999996</v>
      </c>
      <c r="R15" s="19">
        <f t="shared" si="2"/>
        <v>4.0749999999999993</v>
      </c>
      <c r="S15" s="10" t="str">
        <f>IF(R15=MAX(INDEX($R$6:$R$17,MATCH(N15,$N$6:$N$17,0)):INDEX($R$6:$R$17,MATCH(N15,$N$6:$N$17,0)+3)),"Preferred response option","-")</f>
        <v>Preferred response option</v>
      </c>
      <c r="T15" s="10" t="s">
        <v>85</v>
      </c>
    </row>
    <row r="16" spans="1:20" s="5" customFormat="1" ht="16" customHeight="1">
      <c r="N16" s="10" t="s">
        <v>81</v>
      </c>
      <c r="O16" s="10" t="s">
        <v>11</v>
      </c>
      <c r="P16" s="19">
        <f t="shared" si="0"/>
        <v>2.9750000000000001</v>
      </c>
      <c r="Q16" s="19">
        <f t="shared" si="1"/>
        <v>3.2250000000000001</v>
      </c>
      <c r="R16" s="19">
        <f t="shared" si="2"/>
        <v>3.1</v>
      </c>
      <c r="S16" s="10" t="str">
        <f>IF(R16=MAX(INDEX($R$6:$R$17,MATCH(N16,$N$6:$N$17,0)):INDEX($R$6:$R$17,MATCH(N16,$N$6:$N$17,0)+3)),"Preferred response option","-")</f>
        <v>-</v>
      </c>
      <c r="T16" s="10" t="s">
        <v>86</v>
      </c>
    </row>
    <row r="17" spans="1:37" s="5" customFormat="1" ht="16" customHeight="1">
      <c r="A17" s="12" t="s">
        <v>87</v>
      </c>
      <c r="B17" s="12" t="s">
        <v>6</v>
      </c>
      <c r="C17" s="13">
        <f>SUMIF($A$6:$A$15,"Grid operator",$C$6:$C$15)</f>
        <v>1</v>
      </c>
      <c r="D17" s="13" t="s">
        <v>7</v>
      </c>
      <c r="E17" s="13">
        <f>SUMIF($A$6:$A$15,"Company",$C$6:$C$15)</f>
        <v>1</v>
      </c>
      <c r="F17" s="12" t="str">
        <f>IF(AND(ABS(C17-1)&lt;0.0001,ABS(E17-1)&lt;0.0001),"OK — both actors total 100%","Review weights")</f>
        <v>OK — both actors total 100%</v>
      </c>
      <c r="N17" s="10" t="s">
        <v>81</v>
      </c>
      <c r="O17" s="10" t="s">
        <v>12</v>
      </c>
      <c r="P17" s="19">
        <f t="shared" si="0"/>
        <v>3.05</v>
      </c>
      <c r="Q17" s="19">
        <f t="shared" si="1"/>
        <v>2.6999999999999997</v>
      </c>
      <c r="R17" s="19">
        <f t="shared" si="2"/>
        <v>2.875</v>
      </c>
      <c r="S17" s="10" t="str">
        <f>IF(R17=MAX(INDEX($R$6:$R$17,MATCH(N17,$N$6:$N$17,0)):INDEX($R$6:$R$17,MATCH(N17,$N$6:$N$17,0)+3)),"Preferred response option","-")</f>
        <v>-</v>
      </c>
      <c r="T17" s="10" t="s">
        <v>88</v>
      </c>
    </row>
    <row r="20" spans="1:37" ht="16" customHeight="1">
      <c r="A20" s="95" t="s">
        <v>89</v>
      </c>
      <c r="B20" s="46"/>
      <c r="C20" s="46"/>
      <c r="D20" s="46"/>
      <c r="E20" s="46"/>
      <c r="F20" s="46"/>
      <c r="G20" s="46"/>
      <c r="H20" s="46"/>
      <c r="I20" s="46"/>
      <c r="J20" s="46"/>
      <c r="K20" s="46"/>
      <c r="L20" s="46"/>
      <c r="M20" s="46"/>
      <c r="N20" s="95" t="s">
        <v>90</v>
      </c>
      <c r="O20" s="46"/>
      <c r="P20" s="46"/>
      <c r="Q20" s="46"/>
      <c r="V20" s="23" t="s">
        <v>91</v>
      </c>
    </row>
    <row r="21" spans="1:37" ht="58" customHeight="1">
      <c r="A21" s="1" t="s">
        <v>52</v>
      </c>
      <c r="B21" s="1" t="s">
        <v>14</v>
      </c>
      <c r="C21" s="92" t="s">
        <v>92</v>
      </c>
      <c r="D21" s="91"/>
      <c r="E21" s="1" t="s">
        <v>93</v>
      </c>
      <c r="F21" s="1" t="s">
        <v>94</v>
      </c>
      <c r="G21" s="1" t="s">
        <v>95</v>
      </c>
      <c r="H21" s="1" t="s">
        <v>96</v>
      </c>
      <c r="I21" s="1" t="s">
        <v>97</v>
      </c>
      <c r="J21" s="1" t="s">
        <v>98</v>
      </c>
      <c r="K21" s="1" t="s">
        <v>99</v>
      </c>
      <c r="L21" s="1" t="s">
        <v>100</v>
      </c>
      <c r="M21" s="1" t="s">
        <v>101</v>
      </c>
      <c r="N21" s="1" t="s">
        <v>52</v>
      </c>
      <c r="O21" s="1" t="s">
        <v>29</v>
      </c>
      <c r="P21" s="1" t="s">
        <v>102</v>
      </c>
      <c r="Q21" s="1" t="s">
        <v>56</v>
      </c>
      <c r="V21" s="24" t="s">
        <v>15</v>
      </c>
      <c r="W21" s="24" t="s">
        <v>103</v>
      </c>
      <c r="X21" s="24" t="s">
        <v>104</v>
      </c>
      <c r="Y21" s="24" t="s">
        <v>105</v>
      </c>
      <c r="Z21" s="24" t="s">
        <v>106</v>
      </c>
      <c r="AA21" s="24" t="s">
        <v>107</v>
      </c>
      <c r="AB21" s="24" t="s">
        <v>108</v>
      </c>
      <c r="AC21" s="24" t="s">
        <v>109</v>
      </c>
      <c r="AD21" s="24" t="s">
        <v>110</v>
      </c>
      <c r="AE21" s="24" t="s">
        <v>111</v>
      </c>
      <c r="AF21" s="24" t="s">
        <v>112</v>
      </c>
      <c r="AG21" s="24" t="s">
        <v>113</v>
      </c>
      <c r="AH21" s="24" t="s">
        <v>114</v>
      </c>
      <c r="AI21" s="24" t="s">
        <v>115</v>
      </c>
      <c r="AJ21" s="24" t="s">
        <v>116</v>
      </c>
      <c r="AK21" s="24" t="s">
        <v>117</v>
      </c>
    </row>
    <row r="22" spans="1:37" s="7" customFormat="1" ht="95" customHeight="1">
      <c r="A22" s="6" t="s">
        <v>2</v>
      </c>
      <c r="B22" s="16" t="s">
        <v>118</v>
      </c>
      <c r="C22" s="93">
        <v>1</v>
      </c>
      <c r="D22" s="91"/>
      <c r="E22" s="17">
        <v>0.88700000000000001</v>
      </c>
      <c r="F22" s="17">
        <v>0.97</v>
      </c>
      <c r="G22" s="17">
        <v>0.91400000000000003</v>
      </c>
      <c r="H22" s="17">
        <v>0.91600000000000004</v>
      </c>
      <c r="I22" s="15" t="s">
        <v>119</v>
      </c>
      <c r="J22" s="15" t="s">
        <v>120</v>
      </c>
      <c r="K22" s="15" t="s">
        <v>121</v>
      </c>
      <c r="L22" s="15" t="s">
        <v>122</v>
      </c>
      <c r="M22" s="15" t="s">
        <v>123</v>
      </c>
      <c r="N22" s="4" t="s">
        <v>2</v>
      </c>
      <c r="O22" s="4" t="s">
        <v>32</v>
      </c>
      <c r="P22" s="4" t="s">
        <v>124</v>
      </c>
      <c r="Q22" s="4" t="s">
        <v>125</v>
      </c>
      <c r="V22" s="33">
        <v>1</v>
      </c>
      <c r="W22" s="26">
        <v>43062</v>
      </c>
      <c r="X22" s="27">
        <v>5049.6000000000004</v>
      </c>
      <c r="Y22" s="25" t="s">
        <v>126</v>
      </c>
      <c r="Z22" s="26">
        <v>67345.2</v>
      </c>
      <c r="AA22" s="28">
        <v>0.66600000000000004</v>
      </c>
      <c r="AB22" s="28">
        <v>0.88700000000000001</v>
      </c>
      <c r="AC22" s="29" t="s">
        <v>127</v>
      </c>
      <c r="AD22" s="25" t="s">
        <v>128</v>
      </c>
      <c r="AE22" s="28" t="s">
        <v>127</v>
      </c>
      <c r="AF22" s="28">
        <v>0.76200000000000001</v>
      </c>
      <c r="AG22" s="28">
        <v>0.97</v>
      </c>
      <c r="AH22" s="29">
        <v>2031</v>
      </c>
      <c r="AI22" s="25" t="s">
        <v>129</v>
      </c>
      <c r="AJ22" s="28">
        <v>0.7</v>
      </c>
      <c r="AK22" s="25" t="s">
        <v>130</v>
      </c>
    </row>
    <row r="23" spans="1:37" s="7" customFormat="1" ht="95" customHeight="1">
      <c r="A23" s="6" t="s">
        <v>70</v>
      </c>
      <c r="B23" s="16" t="s">
        <v>131</v>
      </c>
      <c r="C23" s="93">
        <v>1</v>
      </c>
      <c r="D23" s="91"/>
      <c r="E23" s="17">
        <v>0.82299999999999995</v>
      </c>
      <c r="F23" s="17">
        <v>0.94799999999999995</v>
      </c>
      <c r="G23" s="17">
        <v>0.88300000000000001</v>
      </c>
      <c r="H23" s="17">
        <v>0.89100000000000001</v>
      </c>
      <c r="I23" s="15" t="s">
        <v>132</v>
      </c>
      <c r="J23" s="15" t="s">
        <v>133</v>
      </c>
      <c r="K23" s="15" t="s">
        <v>134</v>
      </c>
      <c r="L23" s="15" t="s">
        <v>135</v>
      </c>
      <c r="M23" s="15" t="s">
        <v>123</v>
      </c>
      <c r="N23" s="4" t="s">
        <v>2</v>
      </c>
      <c r="O23" s="4" t="s">
        <v>33</v>
      </c>
      <c r="P23" s="4" t="s">
        <v>136</v>
      </c>
      <c r="Q23" s="4" t="s">
        <v>137</v>
      </c>
      <c r="V23" s="33">
        <v>1</v>
      </c>
      <c r="W23" s="26">
        <v>29171.200000000001</v>
      </c>
      <c r="X23" s="27">
        <v>3644.4</v>
      </c>
      <c r="Y23" s="25" t="s">
        <v>126</v>
      </c>
      <c r="Z23" s="26">
        <v>48505.2</v>
      </c>
      <c r="AA23" s="28">
        <v>0.63400000000000001</v>
      </c>
      <c r="AB23" s="28">
        <v>0.82299999999999995</v>
      </c>
      <c r="AC23" s="29">
        <v>2035</v>
      </c>
      <c r="AD23" s="25" t="s">
        <v>128</v>
      </c>
      <c r="AE23" s="28" t="s">
        <v>127</v>
      </c>
      <c r="AF23" s="28">
        <v>0.94799999999999995</v>
      </c>
      <c r="AG23" s="28" t="s">
        <v>381</v>
      </c>
      <c r="AH23" s="29">
        <v>2025</v>
      </c>
      <c r="AI23" s="25" t="s">
        <v>138</v>
      </c>
      <c r="AJ23" s="28">
        <v>0.41199999999999998</v>
      </c>
      <c r="AK23" s="25" t="s">
        <v>139</v>
      </c>
    </row>
    <row r="24" spans="1:37" s="7" customFormat="1" ht="95" customHeight="1">
      <c r="A24" s="6" t="s">
        <v>81</v>
      </c>
      <c r="B24" s="16" t="s">
        <v>140</v>
      </c>
      <c r="C24" s="93">
        <v>0.84109589041095889</v>
      </c>
      <c r="D24" s="91"/>
      <c r="E24" s="17">
        <v>0.53900000000000003</v>
      </c>
      <c r="F24" s="17">
        <v>0.90600000000000003</v>
      </c>
      <c r="G24" s="17">
        <v>0.86099999999999999</v>
      </c>
      <c r="H24" s="17">
        <v>0.85799999999999998</v>
      </c>
      <c r="I24" s="15" t="s">
        <v>132</v>
      </c>
      <c r="J24" s="15" t="s">
        <v>141</v>
      </c>
      <c r="K24" s="15" t="s">
        <v>142</v>
      </c>
      <c r="L24" s="15" t="s">
        <v>143</v>
      </c>
      <c r="M24" s="15" t="s">
        <v>123</v>
      </c>
      <c r="N24" s="4" t="s">
        <v>2</v>
      </c>
      <c r="O24" s="4" t="s">
        <v>34</v>
      </c>
      <c r="P24" s="4" t="s">
        <v>144</v>
      </c>
      <c r="Q24" s="4" t="s">
        <v>145</v>
      </c>
      <c r="V24" s="33">
        <v>1</v>
      </c>
      <c r="W24" s="26">
        <v>9414.6</v>
      </c>
      <c r="X24" s="27">
        <v>1450</v>
      </c>
      <c r="Y24" s="25" t="s">
        <v>146</v>
      </c>
      <c r="Z24" s="26" t="s">
        <v>127</v>
      </c>
      <c r="AA24" s="28">
        <v>0.43</v>
      </c>
      <c r="AB24" s="28">
        <v>0.53900000000000003</v>
      </c>
      <c r="AC24" s="29" t="s">
        <v>127</v>
      </c>
      <c r="AD24" s="25" t="s">
        <v>128</v>
      </c>
      <c r="AE24" s="28" t="s">
        <v>127</v>
      </c>
      <c r="AF24" s="28">
        <v>0.90600000000000003</v>
      </c>
      <c r="AG24" s="28" t="s">
        <v>381</v>
      </c>
      <c r="AH24" s="29">
        <v>2029</v>
      </c>
      <c r="AI24" s="25" t="s">
        <v>147</v>
      </c>
      <c r="AJ24" s="28" t="s">
        <v>148</v>
      </c>
      <c r="AK24" s="25" t="s">
        <v>149</v>
      </c>
    </row>
    <row r="25" spans="1:37" ht="112" customHeight="1">
      <c r="A25" s="2"/>
      <c r="N25" s="10" t="s">
        <v>2</v>
      </c>
      <c r="O25" s="10" t="s">
        <v>35</v>
      </c>
      <c r="P25" s="10" t="s">
        <v>150</v>
      </c>
      <c r="Q25" s="10" t="s">
        <v>151</v>
      </c>
    </row>
    <row r="26" spans="1:37" ht="48" customHeight="1">
      <c r="A26" s="88" t="s">
        <v>152</v>
      </c>
      <c r="B26" s="46"/>
      <c r="C26" s="46"/>
      <c r="D26" s="46"/>
      <c r="E26" s="46"/>
      <c r="F26" s="46"/>
      <c r="G26" s="46"/>
      <c r="H26" s="46"/>
      <c r="I26" s="46"/>
      <c r="J26" s="46"/>
      <c r="K26" s="46"/>
      <c r="L26" s="46"/>
      <c r="N26" s="10" t="s">
        <v>2</v>
      </c>
      <c r="O26" s="10" t="s">
        <v>36</v>
      </c>
      <c r="P26" s="10" t="s">
        <v>124</v>
      </c>
      <c r="Q26" s="10" t="s">
        <v>153</v>
      </c>
    </row>
    <row r="27" spans="1:37" ht="48" customHeight="1">
      <c r="A27" s="3" t="s">
        <v>52</v>
      </c>
      <c r="B27" s="1" t="s">
        <v>28</v>
      </c>
      <c r="C27" s="1" t="s">
        <v>29</v>
      </c>
      <c r="D27" s="1" t="s">
        <v>5</v>
      </c>
      <c r="E27" s="1" t="s">
        <v>154</v>
      </c>
      <c r="F27" s="1" t="s">
        <v>155</v>
      </c>
      <c r="G27" s="1" t="s">
        <v>156</v>
      </c>
      <c r="H27" s="1" t="s">
        <v>157</v>
      </c>
      <c r="I27" s="1" t="s">
        <v>158</v>
      </c>
      <c r="J27" s="1" t="s">
        <v>30</v>
      </c>
      <c r="K27" s="1" t="s">
        <v>159</v>
      </c>
      <c r="L27" s="1" t="s">
        <v>160</v>
      </c>
      <c r="N27" s="10" t="s">
        <v>2</v>
      </c>
      <c r="O27" s="10" t="s">
        <v>37</v>
      </c>
      <c r="P27" s="10" t="s">
        <v>124</v>
      </c>
      <c r="Q27" s="10" t="s">
        <v>161</v>
      </c>
    </row>
    <row r="28" spans="1:37" ht="58" customHeight="1">
      <c r="A28" s="18" t="s">
        <v>2</v>
      </c>
      <c r="B28" s="10" t="s">
        <v>6</v>
      </c>
      <c r="C28" s="10" t="s">
        <v>32</v>
      </c>
      <c r="D28" s="10" t="s">
        <v>9</v>
      </c>
      <c r="E28" s="22">
        <v>0</v>
      </c>
      <c r="F28" s="10" t="s">
        <v>162</v>
      </c>
      <c r="G28" s="10" t="s">
        <v>163</v>
      </c>
      <c r="H28" s="10" t="s">
        <v>164</v>
      </c>
      <c r="I28" s="19">
        <f t="shared" ref="I28:I59" si="3">INDEX($F$6:$I$15,MATCH($C28,$B$6:$B$15,0),MATCH($D28,$F$5:$I$5,0))</f>
        <v>2</v>
      </c>
      <c r="J28" s="20">
        <f t="shared" ref="J28:J59" si="4">INDEX($C$6:$C$15,MATCH($C28,$B$6:$B$15,0))</f>
        <v>0.3</v>
      </c>
      <c r="K28" s="19">
        <f t="shared" ref="K28:K59" si="5">MAX(1,MIN(5,I28+E28))</f>
        <v>2</v>
      </c>
      <c r="L28" s="21">
        <f t="shared" ref="L28:L59" si="6">J28*K28</f>
        <v>0.6</v>
      </c>
      <c r="N28" s="10" t="s">
        <v>2</v>
      </c>
      <c r="O28" s="10" t="s">
        <v>38</v>
      </c>
      <c r="P28" s="10" t="s">
        <v>124</v>
      </c>
      <c r="Q28" s="10" t="s">
        <v>165</v>
      </c>
    </row>
    <row r="29" spans="1:37" ht="58" customHeight="1">
      <c r="A29" s="18" t="s">
        <v>2</v>
      </c>
      <c r="B29" s="10" t="s">
        <v>6</v>
      </c>
      <c r="C29" s="10" t="s">
        <v>32</v>
      </c>
      <c r="D29" s="10" t="s">
        <v>10</v>
      </c>
      <c r="E29" s="22">
        <v>0</v>
      </c>
      <c r="F29" s="10" t="s">
        <v>162</v>
      </c>
      <c r="G29" s="10" t="s">
        <v>163</v>
      </c>
      <c r="H29" s="10" t="s">
        <v>166</v>
      </c>
      <c r="I29" s="19">
        <f t="shared" si="3"/>
        <v>4</v>
      </c>
      <c r="J29" s="20">
        <f t="shared" si="4"/>
        <v>0.3</v>
      </c>
      <c r="K29" s="19">
        <f t="shared" si="5"/>
        <v>4</v>
      </c>
      <c r="L29" s="21">
        <f t="shared" si="6"/>
        <v>1.2</v>
      </c>
      <c r="N29" s="10" t="s">
        <v>2</v>
      </c>
      <c r="O29" s="10" t="s">
        <v>39</v>
      </c>
      <c r="P29" s="10" t="s">
        <v>167</v>
      </c>
      <c r="Q29" s="10" t="s">
        <v>168</v>
      </c>
    </row>
    <row r="30" spans="1:37" ht="58" customHeight="1">
      <c r="A30" s="18" t="s">
        <v>2</v>
      </c>
      <c r="B30" s="10" t="s">
        <v>6</v>
      </c>
      <c r="C30" s="10" t="s">
        <v>32</v>
      </c>
      <c r="D30" s="10" t="s">
        <v>11</v>
      </c>
      <c r="E30" s="22">
        <v>0</v>
      </c>
      <c r="F30" s="10" t="s">
        <v>162</v>
      </c>
      <c r="G30" s="10" t="s">
        <v>163</v>
      </c>
      <c r="H30" s="10" t="s">
        <v>169</v>
      </c>
      <c r="I30" s="19">
        <f t="shared" si="3"/>
        <v>4</v>
      </c>
      <c r="J30" s="20">
        <f t="shared" si="4"/>
        <v>0.3</v>
      </c>
      <c r="K30" s="19">
        <f t="shared" si="5"/>
        <v>4</v>
      </c>
      <c r="L30" s="21">
        <f t="shared" si="6"/>
        <v>1.2</v>
      </c>
      <c r="N30" s="10" t="s">
        <v>2</v>
      </c>
      <c r="O30" s="10" t="s">
        <v>40</v>
      </c>
      <c r="P30" s="10" t="s">
        <v>170</v>
      </c>
      <c r="Q30" s="10" t="s">
        <v>171</v>
      </c>
    </row>
    <row r="31" spans="1:37" ht="58" customHeight="1">
      <c r="A31" s="18" t="s">
        <v>2</v>
      </c>
      <c r="B31" s="10" t="s">
        <v>6</v>
      </c>
      <c r="C31" s="10" t="s">
        <v>32</v>
      </c>
      <c r="D31" s="10" t="s">
        <v>12</v>
      </c>
      <c r="E31" s="22">
        <v>0</v>
      </c>
      <c r="F31" s="10" t="s">
        <v>162</v>
      </c>
      <c r="G31" s="10" t="s">
        <v>163</v>
      </c>
      <c r="H31" s="10" t="s">
        <v>172</v>
      </c>
      <c r="I31" s="19">
        <f t="shared" si="3"/>
        <v>5</v>
      </c>
      <c r="J31" s="20">
        <f t="shared" si="4"/>
        <v>0.3</v>
      </c>
      <c r="K31" s="19">
        <f t="shared" si="5"/>
        <v>5</v>
      </c>
      <c r="L31" s="21">
        <f t="shared" si="6"/>
        <v>1.5</v>
      </c>
      <c r="N31" s="10" t="s">
        <v>2</v>
      </c>
      <c r="O31" s="10" t="s">
        <v>41</v>
      </c>
      <c r="P31" s="10" t="s">
        <v>124</v>
      </c>
      <c r="Q31" s="10" t="s">
        <v>173</v>
      </c>
    </row>
    <row r="32" spans="1:37" ht="58" customHeight="1">
      <c r="A32" s="18" t="s">
        <v>2</v>
      </c>
      <c r="B32" s="10" t="s">
        <v>6</v>
      </c>
      <c r="C32" s="10" t="s">
        <v>33</v>
      </c>
      <c r="D32" s="10" t="s">
        <v>9</v>
      </c>
      <c r="E32" s="22">
        <v>-0.5</v>
      </c>
      <c r="F32" s="10" t="s">
        <v>136</v>
      </c>
      <c r="G32" s="10" t="s">
        <v>174</v>
      </c>
      <c r="H32" s="10" t="s">
        <v>175</v>
      </c>
      <c r="I32" s="19">
        <f t="shared" si="3"/>
        <v>4</v>
      </c>
      <c r="J32" s="20">
        <f t="shared" si="4"/>
        <v>0.2</v>
      </c>
      <c r="K32" s="19">
        <f t="shared" si="5"/>
        <v>3.5</v>
      </c>
      <c r="L32" s="21">
        <f t="shared" si="6"/>
        <v>0.70000000000000007</v>
      </c>
      <c r="N32" s="10" t="s">
        <v>70</v>
      </c>
      <c r="O32" s="10" t="s">
        <v>32</v>
      </c>
      <c r="P32" s="10" t="s">
        <v>176</v>
      </c>
      <c r="Q32" s="10" t="s">
        <v>177</v>
      </c>
    </row>
    <row r="33" spans="1:17" ht="58" customHeight="1">
      <c r="A33" s="18" t="s">
        <v>2</v>
      </c>
      <c r="B33" s="10" t="s">
        <v>6</v>
      </c>
      <c r="C33" s="10" t="s">
        <v>33</v>
      </c>
      <c r="D33" s="10" t="s">
        <v>10</v>
      </c>
      <c r="E33" s="22">
        <v>0</v>
      </c>
      <c r="F33" s="10" t="s">
        <v>162</v>
      </c>
      <c r="G33" s="10" t="s">
        <v>163</v>
      </c>
      <c r="H33" s="10" t="s">
        <v>178</v>
      </c>
      <c r="I33" s="19">
        <f t="shared" si="3"/>
        <v>2</v>
      </c>
      <c r="J33" s="20">
        <f t="shared" si="4"/>
        <v>0.2</v>
      </c>
      <c r="K33" s="19">
        <f t="shared" si="5"/>
        <v>2</v>
      </c>
      <c r="L33" s="21">
        <f t="shared" si="6"/>
        <v>0.4</v>
      </c>
      <c r="N33" s="10" t="s">
        <v>70</v>
      </c>
      <c r="O33" s="10" t="s">
        <v>33</v>
      </c>
      <c r="P33" s="10" t="s">
        <v>179</v>
      </c>
      <c r="Q33" s="10" t="s">
        <v>180</v>
      </c>
    </row>
    <row r="34" spans="1:17" ht="58" customHeight="1">
      <c r="A34" s="18" t="s">
        <v>2</v>
      </c>
      <c r="B34" s="10" t="s">
        <v>6</v>
      </c>
      <c r="C34" s="10" t="s">
        <v>33</v>
      </c>
      <c r="D34" s="10" t="s">
        <v>11</v>
      </c>
      <c r="E34" s="22">
        <v>0</v>
      </c>
      <c r="F34" s="10" t="s">
        <v>162</v>
      </c>
      <c r="G34" s="10" t="s">
        <v>163</v>
      </c>
      <c r="H34" s="10" t="s">
        <v>181</v>
      </c>
      <c r="I34" s="19">
        <f t="shared" si="3"/>
        <v>3</v>
      </c>
      <c r="J34" s="20">
        <f t="shared" si="4"/>
        <v>0.2</v>
      </c>
      <c r="K34" s="19">
        <f t="shared" si="5"/>
        <v>3</v>
      </c>
      <c r="L34" s="21">
        <f t="shared" si="6"/>
        <v>0.60000000000000009</v>
      </c>
      <c r="N34" s="10" t="s">
        <v>70</v>
      </c>
      <c r="O34" s="10" t="s">
        <v>34</v>
      </c>
      <c r="P34" s="10" t="s">
        <v>182</v>
      </c>
      <c r="Q34" s="10" t="s">
        <v>183</v>
      </c>
    </row>
    <row r="35" spans="1:17" ht="58" customHeight="1">
      <c r="A35" s="18" t="s">
        <v>2</v>
      </c>
      <c r="B35" s="10" t="s">
        <v>6</v>
      </c>
      <c r="C35" s="10" t="s">
        <v>33</v>
      </c>
      <c r="D35" s="10" t="s">
        <v>12</v>
      </c>
      <c r="E35" s="22">
        <v>0</v>
      </c>
      <c r="F35" s="10" t="s">
        <v>162</v>
      </c>
      <c r="G35" s="10" t="s">
        <v>163</v>
      </c>
      <c r="H35" s="10" t="s">
        <v>184</v>
      </c>
      <c r="I35" s="19">
        <f t="shared" si="3"/>
        <v>1</v>
      </c>
      <c r="J35" s="20">
        <f t="shared" si="4"/>
        <v>0.2</v>
      </c>
      <c r="K35" s="19">
        <f t="shared" si="5"/>
        <v>1</v>
      </c>
      <c r="L35" s="21">
        <f t="shared" si="6"/>
        <v>0.2</v>
      </c>
      <c r="N35" s="10" t="s">
        <v>70</v>
      </c>
      <c r="O35" s="10" t="s">
        <v>35</v>
      </c>
      <c r="P35" s="10" t="s">
        <v>185</v>
      </c>
      <c r="Q35" s="10" t="s">
        <v>186</v>
      </c>
    </row>
    <row r="36" spans="1:17" ht="58" customHeight="1">
      <c r="A36" s="18" t="s">
        <v>2</v>
      </c>
      <c r="B36" s="10" t="s">
        <v>6</v>
      </c>
      <c r="C36" s="10" t="s">
        <v>34</v>
      </c>
      <c r="D36" s="10" t="s">
        <v>9</v>
      </c>
      <c r="E36" s="22">
        <v>0</v>
      </c>
      <c r="F36" s="10" t="s">
        <v>162</v>
      </c>
      <c r="G36" s="10" t="s">
        <v>163</v>
      </c>
      <c r="H36" s="10" t="s">
        <v>187</v>
      </c>
      <c r="I36" s="19">
        <f t="shared" si="3"/>
        <v>1</v>
      </c>
      <c r="J36" s="20">
        <f t="shared" si="4"/>
        <v>0.2</v>
      </c>
      <c r="K36" s="19">
        <f t="shared" si="5"/>
        <v>1</v>
      </c>
      <c r="L36" s="21">
        <f t="shared" si="6"/>
        <v>0.2</v>
      </c>
      <c r="N36" s="10" t="s">
        <v>70</v>
      </c>
      <c r="O36" s="10" t="s">
        <v>36</v>
      </c>
      <c r="P36" s="10" t="s">
        <v>124</v>
      </c>
      <c r="Q36" s="10" t="s">
        <v>188</v>
      </c>
    </row>
    <row r="37" spans="1:17" ht="58" customHeight="1">
      <c r="A37" s="18" t="s">
        <v>2</v>
      </c>
      <c r="B37" s="10" t="s">
        <v>6</v>
      </c>
      <c r="C37" s="10" t="s">
        <v>34</v>
      </c>
      <c r="D37" s="10" t="s">
        <v>10</v>
      </c>
      <c r="E37" s="22">
        <v>0</v>
      </c>
      <c r="F37" s="10" t="s">
        <v>162</v>
      </c>
      <c r="G37" s="10" t="s">
        <v>163</v>
      </c>
      <c r="H37" s="10" t="s">
        <v>189</v>
      </c>
      <c r="I37" s="19">
        <f t="shared" si="3"/>
        <v>5</v>
      </c>
      <c r="J37" s="20">
        <f t="shared" si="4"/>
        <v>0.2</v>
      </c>
      <c r="K37" s="19">
        <f t="shared" si="5"/>
        <v>5</v>
      </c>
      <c r="L37" s="21">
        <f t="shared" si="6"/>
        <v>1</v>
      </c>
      <c r="N37" s="10" t="s">
        <v>70</v>
      </c>
      <c r="O37" s="10" t="s">
        <v>37</v>
      </c>
      <c r="P37" s="10" t="s">
        <v>190</v>
      </c>
      <c r="Q37" s="10" t="s">
        <v>191</v>
      </c>
    </row>
    <row r="38" spans="1:17" ht="58" customHeight="1">
      <c r="A38" s="18" t="s">
        <v>2</v>
      </c>
      <c r="B38" s="10" t="s">
        <v>6</v>
      </c>
      <c r="C38" s="10" t="s">
        <v>34</v>
      </c>
      <c r="D38" s="10" t="s">
        <v>11</v>
      </c>
      <c r="E38" s="22">
        <v>0</v>
      </c>
      <c r="F38" s="10" t="s">
        <v>162</v>
      </c>
      <c r="G38" s="10" t="s">
        <v>163</v>
      </c>
      <c r="H38" s="10" t="s">
        <v>192</v>
      </c>
      <c r="I38" s="19">
        <f t="shared" si="3"/>
        <v>3</v>
      </c>
      <c r="J38" s="20">
        <f t="shared" si="4"/>
        <v>0.2</v>
      </c>
      <c r="K38" s="19">
        <f t="shared" si="5"/>
        <v>3</v>
      </c>
      <c r="L38" s="21">
        <f t="shared" si="6"/>
        <v>0.60000000000000009</v>
      </c>
      <c r="N38" s="10" t="s">
        <v>70</v>
      </c>
      <c r="O38" s="10" t="s">
        <v>38</v>
      </c>
      <c r="P38" s="10" t="s">
        <v>193</v>
      </c>
      <c r="Q38" s="10" t="s">
        <v>194</v>
      </c>
    </row>
    <row r="39" spans="1:17" ht="58" customHeight="1">
      <c r="A39" s="18" t="s">
        <v>2</v>
      </c>
      <c r="B39" s="10" t="s">
        <v>6</v>
      </c>
      <c r="C39" s="10" t="s">
        <v>34</v>
      </c>
      <c r="D39" s="10" t="s">
        <v>12</v>
      </c>
      <c r="E39" s="22">
        <v>-0.5</v>
      </c>
      <c r="F39" s="10" t="s">
        <v>144</v>
      </c>
      <c r="G39" s="10" t="s">
        <v>174</v>
      </c>
      <c r="H39" s="10" t="s">
        <v>195</v>
      </c>
      <c r="I39" s="19">
        <f t="shared" si="3"/>
        <v>2</v>
      </c>
      <c r="J39" s="20">
        <f t="shared" si="4"/>
        <v>0.2</v>
      </c>
      <c r="K39" s="19">
        <f t="shared" si="5"/>
        <v>1.5</v>
      </c>
      <c r="L39" s="21">
        <f t="shared" si="6"/>
        <v>0.30000000000000004</v>
      </c>
      <c r="N39" s="10" t="s">
        <v>70</v>
      </c>
      <c r="O39" s="10" t="s">
        <v>39</v>
      </c>
      <c r="P39" s="10" t="s">
        <v>196</v>
      </c>
      <c r="Q39" s="10" t="s">
        <v>197</v>
      </c>
    </row>
    <row r="40" spans="1:17" ht="58" customHeight="1">
      <c r="A40" s="18" t="s">
        <v>2</v>
      </c>
      <c r="B40" s="10" t="s">
        <v>6</v>
      </c>
      <c r="C40" s="10" t="s">
        <v>35</v>
      </c>
      <c r="D40" s="10" t="s">
        <v>9</v>
      </c>
      <c r="E40" s="22">
        <v>0</v>
      </c>
      <c r="F40" s="10" t="s">
        <v>162</v>
      </c>
      <c r="G40" s="10" t="s">
        <v>163</v>
      </c>
      <c r="H40" s="10" t="s">
        <v>198</v>
      </c>
      <c r="I40" s="19">
        <f t="shared" si="3"/>
        <v>5</v>
      </c>
      <c r="J40" s="20">
        <f t="shared" si="4"/>
        <v>0.15</v>
      </c>
      <c r="K40" s="19">
        <f t="shared" si="5"/>
        <v>5</v>
      </c>
      <c r="L40" s="21">
        <f t="shared" si="6"/>
        <v>0.75</v>
      </c>
      <c r="N40" s="10" t="s">
        <v>70</v>
      </c>
      <c r="O40" s="10" t="s">
        <v>40</v>
      </c>
      <c r="P40" s="10" t="s">
        <v>124</v>
      </c>
      <c r="Q40" s="10" t="s">
        <v>199</v>
      </c>
    </row>
    <row r="41" spans="1:17" ht="58" customHeight="1">
      <c r="A41" s="18" t="s">
        <v>2</v>
      </c>
      <c r="B41" s="10" t="s">
        <v>6</v>
      </c>
      <c r="C41" s="10" t="s">
        <v>35</v>
      </c>
      <c r="D41" s="10" t="s">
        <v>10</v>
      </c>
      <c r="E41" s="22">
        <v>0</v>
      </c>
      <c r="F41" s="10" t="s">
        <v>162</v>
      </c>
      <c r="G41" s="10" t="s">
        <v>163</v>
      </c>
      <c r="H41" s="10" t="s">
        <v>200</v>
      </c>
      <c r="I41" s="19">
        <f t="shared" si="3"/>
        <v>4</v>
      </c>
      <c r="J41" s="20">
        <f t="shared" si="4"/>
        <v>0.15</v>
      </c>
      <c r="K41" s="19">
        <f t="shared" si="5"/>
        <v>4</v>
      </c>
      <c r="L41" s="21">
        <f t="shared" si="6"/>
        <v>0.6</v>
      </c>
      <c r="N41" s="10" t="s">
        <v>70</v>
      </c>
      <c r="O41" s="10" t="s">
        <v>41</v>
      </c>
      <c r="P41" s="10" t="s">
        <v>124</v>
      </c>
      <c r="Q41" s="10" t="s">
        <v>201</v>
      </c>
    </row>
    <row r="42" spans="1:17" ht="58" customHeight="1">
      <c r="A42" s="18" t="s">
        <v>2</v>
      </c>
      <c r="B42" s="10" t="s">
        <v>6</v>
      </c>
      <c r="C42" s="10" t="s">
        <v>35</v>
      </c>
      <c r="D42" s="10" t="s">
        <v>11</v>
      </c>
      <c r="E42" s="22">
        <v>0.5</v>
      </c>
      <c r="F42" s="10" t="s">
        <v>150</v>
      </c>
      <c r="G42" s="10" t="s">
        <v>100</v>
      </c>
      <c r="H42" s="10" t="s">
        <v>202</v>
      </c>
      <c r="I42" s="19">
        <f t="shared" si="3"/>
        <v>2</v>
      </c>
      <c r="J42" s="20">
        <f t="shared" si="4"/>
        <v>0.15</v>
      </c>
      <c r="K42" s="19">
        <f t="shared" si="5"/>
        <v>2.5</v>
      </c>
      <c r="L42" s="21">
        <f t="shared" si="6"/>
        <v>0.375</v>
      </c>
      <c r="N42" s="10" t="s">
        <v>81</v>
      </c>
      <c r="O42" s="10" t="s">
        <v>32</v>
      </c>
      <c r="P42" s="10" t="s">
        <v>203</v>
      </c>
      <c r="Q42" s="10" t="s">
        <v>204</v>
      </c>
    </row>
    <row r="43" spans="1:17" ht="58" customHeight="1">
      <c r="A43" s="18" t="s">
        <v>2</v>
      </c>
      <c r="B43" s="10" t="s">
        <v>6</v>
      </c>
      <c r="C43" s="10" t="s">
        <v>35</v>
      </c>
      <c r="D43" s="10" t="s">
        <v>12</v>
      </c>
      <c r="E43" s="22">
        <v>0</v>
      </c>
      <c r="F43" s="10" t="s">
        <v>162</v>
      </c>
      <c r="G43" s="10" t="s">
        <v>163</v>
      </c>
      <c r="H43" s="10" t="s">
        <v>205</v>
      </c>
      <c r="I43" s="19">
        <f t="shared" si="3"/>
        <v>2</v>
      </c>
      <c r="J43" s="20">
        <f t="shared" si="4"/>
        <v>0.15</v>
      </c>
      <c r="K43" s="19">
        <f t="shared" si="5"/>
        <v>2</v>
      </c>
      <c r="L43" s="21">
        <f t="shared" si="6"/>
        <v>0.3</v>
      </c>
      <c r="N43" s="10" t="s">
        <v>81</v>
      </c>
      <c r="O43" s="10" t="s">
        <v>33</v>
      </c>
      <c r="P43" s="10" t="s">
        <v>206</v>
      </c>
      <c r="Q43" s="10" t="s">
        <v>207</v>
      </c>
    </row>
    <row r="44" spans="1:17" ht="58" customHeight="1">
      <c r="A44" s="18" t="s">
        <v>2</v>
      </c>
      <c r="B44" s="10" t="s">
        <v>6</v>
      </c>
      <c r="C44" s="10" t="s">
        <v>36</v>
      </c>
      <c r="D44" s="10" t="s">
        <v>9</v>
      </c>
      <c r="E44" s="22">
        <v>0</v>
      </c>
      <c r="F44" s="10" t="s">
        <v>162</v>
      </c>
      <c r="G44" s="10" t="s">
        <v>163</v>
      </c>
      <c r="H44" s="10" t="s">
        <v>208</v>
      </c>
      <c r="I44" s="19">
        <f t="shared" si="3"/>
        <v>4</v>
      </c>
      <c r="J44" s="20">
        <f t="shared" si="4"/>
        <v>0.15</v>
      </c>
      <c r="K44" s="19">
        <f t="shared" si="5"/>
        <v>4</v>
      </c>
      <c r="L44" s="21">
        <f t="shared" si="6"/>
        <v>0.6</v>
      </c>
      <c r="N44" s="10" t="s">
        <v>81</v>
      </c>
      <c r="O44" s="10" t="s">
        <v>34</v>
      </c>
      <c r="P44" s="10" t="s">
        <v>209</v>
      </c>
      <c r="Q44" s="10" t="s">
        <v>210</v>
      </c>
    </row>
    <row r="45" spans="1:17" ht="58" customHeight="1">
      <c r="A45" s="18" t="s">
        <v>2</v>
      </c>
      <c r="B45" s="10" t="s">
        <v>6</v>
      </c>
      <c r="C45" s="10" t="s">
        <v>36</v>
      </c>
      <c r="D45" s="10" t="s">
        <v>10</v>
      </c>
      <c r="E45" s="22">
        <v>0</v>
      </c>
      <c r="F45" s="10" t="s">
        <v>162</v>
      </c>
      <c r="G45" s="10" t="s">
        <v>163</v>
      </c>
      <c r="H45" s="10" t="s">
        <v>211</v>
      </c>
      <c r="I45" s="19">
        <f t="shared" si="3"/>
        <v>3</v>
      </c>
      <c r="J45" s="20">
        <f t="shared" si="4"/>
        <v>0.15</v>
      </c>
      <c r="K45" s="19">
        <f t="shared" si="5"/>
        <v>3</v>
      </c>
      <c r="L45" s="21">
        <f t="shared" si="6"/>
        <v>0.44999999999999996</v>
      </c>
      <c r="N45" s="10" t="s">
        <v>81</v>
      </c>
      <c r="O45" s="10" t="s">
        <v>35</v>
      </c>
      <c r="P45" s="10" t="s">
        <v>212</v>
      </c>
      <c r="Q45" s="10" t="s">
        <v>213</v>
      </c>
    </row>
    <row r="46" spans="1:17" ht="58" customHeight="1">
      <c r="A46" s="18" t="s">
        <v>2</v>
      </c>
      <c r="B46" s="10" t="s">
        <v>6</v>
      </c>
      <c r="C46" s="10" t="s">
        <v>36</v>
      </c>
      <c r="D46" s="10" t="s">
        <v>11</v>
      </c>
      <c r="E46" s="22">
        <v>0</v>
      </c>
      <c r="F46" s="10" t="s">
        <v>162</v>
      </c>
      <c r="G46" s="10" t="s">
        <v>163</v>
      </c>
      <c r="H46" s="10" t="s">
        <v>214</v>
      </c>
      <c r="I46" s="19">
        <f t="shared" si="3"/>
        <v>2</v>
      </c>
      <c r="J46" s="20">
        <f t="shared" si="4"/>
        <v>0.15</v>
      </c>
      <c r="K46" s="19">
        <f t="shared" si="5"/>
        <v>2</v>
      </c>
      <c r="L46" s="21">
        <f t="shared" si="6"/>
        <v>0.3</v>
      </c>
      <c r="N46" s="10" t="s">
        <v>81</v>
      </c>
      <c r="O46" s="10" t="s">
        <v>36</v>
      </c>
      <c r="P46" s="10" t="s">
        <v>124</v>
      </c>
      <c r="Q46" s="10" t="s">
        <v>215</v>
      </c>
    </row>
    <row r="47" spans="1:17" ht="58" customHeight="1">
      <c r="A47" s="18" t="s">
        <v>2</v>
      </c>
      <c r="B47" s="10" t="s">
        <v>6</v>
      </c>
      <c r="C47" s="10" t="s">
        <v>36</v>
      </c>
      <c r="D47" s="10" t="s">
        <v>12</v>
      </c>
      <c r="E47" s="22">
        <v>0</v>
      </c>
      <c r="F47" s="10" t="s">
        <v>162</v>
      </c>
      <c r="G47" s="10" t="s">
        <v>163</v>
      </c>
      <c r="H47" s="10" t="s">
        <v>216</v>
      </c>
      <c r="I47" s="19">
        <f t="shared" si="3"/>
        <v>5</v>
      </c>
      <c r="J47" s="20">
        <f t="shared" si="4"/>
        <v>0.15</v>
      </c>
      <c r="K47" s="19">
        <f t="shared" si="5"/>
        <v>5</v>
      </c>
      <c r="L47" s="21">
        <f t="shared" si="6"/>
        <v>0.75</v>
      </c>
      <c r="N47" s="10" t="s">
        <v>81</v>
      </c>
      <c r="O47" s="10" t="s">
        <v>37</v>
      </c>
      <c r="P47" s="10" t="s">
        <v>217</v>
      </c>
      <c r="Q47" s="10" t="s">
        <v>218</v>
      </c>
    </row>
    <row r="48" spans="1:17" ht="58" customHeight="1">
      <c r="A48" s="18" t="s">
        <v>2</v>
      </c>
      <c r="B48" s="10" t="s">
        <v>7</v>
      </c>
      <c r="C48" s="10" t="s">
        <v>37</v>
      </c>
      <c r="D48" s="10" t="s">
        <v>9</v>
      </c>
      <c r="E48" s="22">
        <v>0</v>
      </c>
      <c r="F48" s="10" t="s">
        <v>162</v>
      </c>
      <c r="G48" s="10" t="s">
        <v>163</v>
      </c>
      <c r="H48" s="10" t="s">
        <v>219</v>
      </c>
      <c r="I48" s="19">
        <f t="shared" si="3"/>
        <v>2</v>
      </c>
      <c r="J48" s="20">
        <f t="shared" si="4"/>
        <v>0.3</v>
      </c>
      <c r="K48" s="19">
        <f t="shared" si="5"/>
        <v>2</v>
      </c>
      <c r="L48" s="21">
        <f t="shared" si="6"/>
        <v>0.6</v>
      </c>
      <c r="N48" s="10" t="s">
        <v>81</v>
      </c>
      <c r="O48" s="10" t="s">
        <v>38</v>
      </c>
      <c r="P48" s="10" t="s">
        <v>220</v>
      </c>
      <c r="Q48" s="10" t="s">
        <v>221</v>
      </c>
    </row>
    <row r="49" spans="1:20" ht="58" customHeight="1">
      <c r="A49" s="18" t="s">
        <v>2</v>
      </c>
      <c r="B49" s="10" t="s">
        <v>7</v>
      </c>
      <c r="C49" s="10" t="s">
        <v>37</v>
      </c>
      <c r="D49" s="10" t="s">
        <v>10</v>
      </c>
      <c r="E49" s="22">
        <v>0</v>
      </c>
      <c r="F49" s="10" t="s">
        <v>162</v>
      </c>
      <c r="G49" s="10" t="s">
        <v>163</v>
      </c>
      <c r="H49" s="10" t="s">
        <v>222</v>
      </c>
      <c r="I49" s="19">
        <f t="shared" si="3"/>
        <v>5</v>
      </c>
      <c r="J49" s="20">
        <f t="shared" si="4"/>
        <v>0.3</v>
      </c>
      <c r="K49" s="19">
        <f t="shared" si="5"/>
        <v>5</v>
      </c>
      <c r="L49" s="21">
        <f t="shared" si="6"/>
        <v>1.5</v>
      </c>
      <c r="N49" s="10" t="s">
        <v>81</v>
      </c>
      <c r="O49" s="10" t="s">
        <v>39</v>
      </c>
      <c r="P49" s="10" t="s">
        <v>223</v>
      </c>
      <c r="Q49" s="10" t="s">
        <v>224</v>
      </c>
    </row>
    <row r="50" spans="1:20" ht="58" customHeight="1">
      <c r="A50" s="18" t="s">
        <v>2</v>
      </c>
      <c r="B50" s="10" t="s">
        <v>7</v>
      </c>
      <c r="C50" s="10" t="s">
        <v>37</v>
      </c>
      <c r="D50" s="10" t="s">
        <v>11</v>
      </c>
      <c r="E50" s="22">
        <v>0</v>
      </c>
      <c r="F50" s="10" t="s">
        <v>162</v>
      </c>
      <c r="G50" s="10" t="s">
        <v>163</v>
      </c>
      <c r="H50" s="10" t="s">
        <v>225</v>
      </c>
      <c r="I50" s="19">
        <f t="shared" si="3"/>
        <v>4</v>
      </c>
      <c r="J50" s="20">
        <f t="shared" si="4"/>
        <v>0.3</v>
      </c>
      <c r="K50" s="19">
        <f t="shared" si="5"/>
        <v>4</v>
      </c>
      <c r="L50" s="21">
        <f t="shared" si="6"/>
        <v>1.2</v>
      </c>
      <c r="N50" s="10" t="s">
        <v>81</v>
      </c>
      <c r="O50" s="10" t="s">
        <v>40</v>
      </c>
      <c r="P50" s="10" t="s">
        <v>226</v>
      </c>
      <c r="Q50" s="10" t="s">
        <v>227</v>
      </c>
    </row>
    <row r="51" spans="1:20" ht="58" customHeight="1">
      <c r="A51" s="18" t="s">
        <v>2</v>
      </c>
      <c r="B51" s="10" t="s">
        <v>7</v>
      </c>
      <c r="C51" s="10" t="s">
        <v>37</v>
      </c>
      <c r="D51" s="10" t="s">
        <v>12</v>
      </c>
      <c r="E51" s="22">
        <v>0</v>
      </c>
      <c r="F51" s="10" t="s">
        <v>162</v>
      </c>
      <c r="G51" s="10" t="s">
        <v>163</v>
      </c>
      <c r="H51" s="10" t="s">
        <v>228</v>
      </c>
      <c r="I51" s="19">
        <f t="shared" si="3"/>
        <v>2</v>
      </c>
      <c r="J51" s="20">
        <f t="shared" si="4"/>
        <v>0.3</v>
      </c>
      <c r="K51" s="19">
        <f t="shared" si="5"/>
        <v>2</v>
      </c>
      <c r="L51" s="21">
        <f t="shared" si="6"/>
        <v>0.6</v>
      </c>
      <c r="N51" s="10" t="s">
        <v>81</v>
      </c>
      <c r="O51" s="10" t="s">
        <v>41</v>
      </c>
      <c r="P51" s="10" t="s">
        <v>124</v>
      </c>
      <c r="Q51" s="10" t="s">
        <v>229</v>
      </c>
    </row>
    <row r="52" spans="1:20" ht="58" customHeight="1">
      <c r="A52" s="10" t="s">
        <v>2</v>
      </c>
      <c r="B52" s="10" t="s">
        <v>7</v>
      </c>
      <c r="C52" s="10" t="s">
        <v>38</v>
      </c>
      <c r="D52" s="10" t="s">
        <v>9</v>
      </c>
      <c r="E52" s="22">
        <v>0</v>
      </c>
      <c r="F52" s="10" t="s">
        <v>162</v>
      </c>
      <c r="G52" s="10" t="s">
        <v>163</v>
      </c>
      <c r="H52" s="10" t="s">
        <v>230</v>
      </c>
      <c r="I52" s="19">
        <f t="shared" si="3"/>
        <v>1</v>
      </c>
      <c r="J52" s="20">
        <f t="shared" si="4"/>
        <v>0.2</v>
      </c>
      <c r="K52" s="19">
        <f t="shared" si="5"/>
        <v>1</v>
      </c>
      <c r="L52" s="21">
        <f t="shared" si="6"/>
        <v>0.2</v>
      </c>
    </row>
    <row r="53" spans="1:20" ht="58" customHeight="1">
      <c r="A53" s="10" t="s">
        <v>2</v>
      </c>
      <c r="B53" s="10" t="s">
        <v>7</v>
      </c>
      <c r="C53" s="10" t="s">
        <v>38</v>
      </c>
      <c r="D53" s="10" t="s">
        <v>10</v>
      </c>
      <c r="E53" s="22">
        <v>0</v>
      </c>
      <c r="F53" s="10" t="s">
        <v>162</v>
      </c>
      <c r="G53" s="10" t="s">
        <v>163</v>
      </c>
      <c r="H53" s="10" t="s">
        <v>231</v>
      </c>
      <c r="I53" s="19">
        <f t="shared" si="3"/>
        <v>4</v>
      </c>
      <c r="J53" s="20">
        <f t="shared" si="4"/>
        <v>0.2</v>
      </c>
      <c r="K53" s="19">
        <f t="shared" si="5"/>
        <v>4</v>
      </c>
      <c r="L53" s="21">
        <f t="shared" si="6"/>
        <v>0.8</v>
      </c>
    </row>
    <row r="54" spans="1:20" ht="58" customHeight="1">
      <c r="A54" s="10" t="s">
        <v>2</v>
      </c>
      <c r="B54" s="10" t="s">
        <v>7</v>
      </c>
      <c r="C54" s="10" t="s">
        <v>38</v>
      </c>
      <c r="D54" s="10" t="s">
        <v>11</v>
      </c>
      <c r="E54" s="22">
        <v>0</v>
      </c>
      <c r="F54" s="10" t="s">
        <v>162</v>
      </c>
      <c r="G54" s="10" t="s">
        <v>163</v>
      </c>
      <c r="H54" s="10" t="s">
        <v>232</v>
      </c>
      <c r="I54" s="19">
        <f t="shared" si="3"/>
        <v>3</v>
      </c>
      <c r="J54" s="20">
        <f t="shared" si="4"/>
        <v>0.2</v>
      </c>
      <c r="K54" s="19">
        <f t="shared" si="5"/>
        <v>3</v>
      </c>
      <c r="L54" s="21">
        <f t="shared" si="6"/>
        <v>0.60000000000000009</v>
      </c>
      <c r="N54" s="97" t="s">
        <v>233</v>
      </c>
      <c r="O54" s="46"/>
      <c r="P54" s="46"/>
      <c r="Q54" s="46"/>
      <c r="R54" s="46"/>
      <c r="S54" s="46"/>
      <c r="T54" s="46"/>
    </row>
    <row r="55" spans="1:20" ht="58" customHeight="1">
      <c r="A55" s="10" t="s">
        <v>2</v>
      </c>
      <c r="B55" s="10" t="s">
        <v>7</v>
      </c>
      <c r="C55" s="10" t="s">
        <v>38</v>
      </c>
      <c r="D55" s="10" t="s">
        <v>12</v>
      </c>
      <c r="E55" s="22">
        <v>0</v>
      </c>
      <c r="F55" s="10" t="s">
        <v>162</v>
      </c>
      <c r="G55" s="10" t="s">
        <v>163</v>
      </c>
      <c r="H55" s="10" t="s">
        <v>234</v>
      </c>
      <c r="I55" s="19">
        <f t="shared" si="3"/>
        <v>1</v>
      </c>
      <c r="J55" s="20">
        <f t="shared" si="4"/>
        <v>0.2</v>
      </c>
      <c r="K55" s="19">
        <f t="shared" si="5"/>
        <v>1</v>
      </c>
      <c r="L55" s="21">
        <f t="shared" si="6"/>
        <v>0.2</v>
      </c>
      <c r="N55" s="89" t="s">
        <v>235</v>
      </c>
      <c r="O55" s="90"/>
      <c r="P55" s="90"/>
      <c r="Q55" s="90"/>
      <c r="R55" s="90"/>
      <c r="S55" s="90"/>
      <c r="T55" s="91"/>
    </row>
    <row r="56" spans="1:20" ht="58" customHeight="1">
      <c r="A56" s="10" t="s">
        <v>2</v>
      </c>
      <c r="B56" s="10" t="s">
        <v>7</v>
      </c>
      <c r="C56" s="10" t="s">
        <v>39</v>
      </c>
      <c r="D56" s="10" t="s">
        <v>9</v>
      </c>
      <c r="E56" s="22">
        <v>0</v>
      </c>
      <c r="F56" s="10" t="s">
        <v>162</v>
      </c>
      <c r="G56" s="10" t="s">
        <v>163</v>
      </c>
      <c r="H56" s="10" t="s">
        <v>236</v>
      </c>
      <c r="I56" s="19">
        <f t="shared" si="3"/>
        <v>4</v>
      </c>
      <c r="J56" s="20">
        <f t="shared" si="4"/>
        <v>0.2</v>
      </c>
      <c r="K56" s="19">
        <f t="shared" si="5"/>
        <v>4</v>
      </c>
      <c r="L56" s="21">
        <f t="shared" si="6"/>
        <v>0.8</v>
      </c>
      <c r="N56" s="89" t="s">
        <v>237</v>
      </c>
      <c r="O56" s="90"/>
      <c r="P56" s="90"/>
      <c r="Q56" s="90"/>
      <c r="R56" s="90"/>
      <c r="S56" s="90"/>
      <c r="T56" s="91"/>
    </row>
    <row r="57" spans="1:20" ht="58" customHeight="1">
      <c r="A57" s="10" t="s">
        <v>2</v>
      </c>
      <c r="B57" s="10" t="s">
        <v>7</v>
      </c>
      <c r="C57" s="10" t="s">
        <v>39</v>
      </c>
      <c r="D57" s="10" t="s">
        <v>10</v>
      </c>
      <c r="E57" s="22">
        <v>0</v>
      </c>
      <c r="F57" s="10" t="s">
        <v>162</v>
      </c>
      <c r="G57" s="10" t="s">
        <v>163</v>
      </c>
      <c r="H57" s="10" t="s">
        <v>238</v>
      </c>
      <c r="I57" s="19">
        <f t="shared" si="3"/>
        <v>3</v>
      </c>
      <c r="J57" s="20">
        <f t="shared" si="4"/>
        <v>0.2</v>
      </c>
      <c r="K57" s="19">
        <f t="shared" si="5"/>
        <v>3</v>
      </c>
      <c r="L57" s="21">
        <f t="shared" si="6"/>
        <v>0.60000000000000009</v>
      </c>
      <c r="N57" s="89" t="s">
        <v>239</v>
      </c>
      <c r="O57" s="90"/>
      <c r="P57" s="90"/>
      <c r="Q57" s="90"/>
      <c r="R57" s="90"/>
      <c r="S57" s="90"/>
      <c r="T57" s="91"/>
    </row>
    <row r="58" spans="1:20" ht="58" customHeight="1">
      <c r="A58" s="10" t="s">
        <v>2</v>
      </c>
      <c r="B58" s="10" t="s">
        <v>7</v>
      </c>
      <c r="C58" s="10" t="s">
        <v>39</v>
      </c>
      <c r="D58" s="10" t="s">
        <v>11</v>
      </c>
      <c r="E58" s="22">
        <v>0.5</v>
      </c>
      <c r="F58" s="10" t="s">
        <v>167</v>
      </c>
      <c r="G58" s="10" t="s">
        <v>100</v>
      </c>
      <c r="H58" s="10" t="s">
        <v>240</v>
      </c>
      <c r="I58" s="19">
        <f t="shared" si="3"/>
        <v>2</v>
      </c>
      <c r="J58" s="20">
        <f t="shared" si="4"/>
        <v>0.2</v>
      </c>
      <c r="K58" s="19">
        <f t="shared" si="5"/>
        <v>2.5</v>
      </c>
      <c r="L58" s="21">
        <f t="shared" si="6"/>
        <v>0.5</v>
      </c>
      <c r="N58" s="89" t="s">
        <v>241</v>
      </c>
      <c r="O58" s="90"/>
      <c r="P58" s="90"/>
      <c r="Q58" s="90"/>
      <c r="R58" s="90"/>
      <c r="S58" s="90"/>
      <c r="T58" s="91"/>
    </row>
    <row r="59" spans="1:20" ht="58" customHeight="1">
      <c r="A59" s="10" t="s">
        <v>2</v>
      </c>
      <c r="B59" s="10" t="s">
        <v>7</v>
      </c>
      <c r="C59" s="10" t="s">
        <v>39</v>
      </c>
      <c r="D59" s="10" t="s">
        <v>12</v>
      </c>
      <c r="E59" s="22">
        <v>0</v>
      </c>
      <c r="F59" s="10" t="s">
        <v>162</v>
      </c>
      <c r="G59" s="10" t="s">
        <v>163</v>
      </c>
      <c r="H59" s="10" t="s">
        <v>242</v>
      </c>
      <c r="I59" s="19">
        <f t="shared" si="3"/>
        <v>5</v>
      </c>
      <c r="J59" s="20">
        <f t="shared" si="4"/>
        <v>0.2</v>
      </c>
      <c r="K59" s="19">
        <f t="shared" si="5"/>
        <v>5</v>
      </c>
      <c r="L59" s="21">
        <f t="shared" si="6"/>
        <v>1</v>
      </c>
      <c r="N59" s="89" t="s">
        <v>243</v>
      </c>
      <c r="O59" s="90"/>
      <c r="P59" s="90"/>
      <c r="Q59" s="90"/>
      <c r="R59" s="90"/>
      <c r="S59" s="90"/>
      <c r="T59" s="91"/>
    </row>
    <row r="60" spans="1:20" ht="58" customHeight="1">
      <c r="A60" s="10" t="s">
        <v>2</v>
      </c>
      <c r="B60" s="10" t="s">
        <v>7</v>
      </c>
      <c r="C60" s="10" t="s">
        <v>40</v>
      </c>
      <c r="D60" s="10" t="s">
        <v>9</v>
      </c>
      <c r="E60" s="22">
        <v>0</v>
      </c>
      <c r="F60" s="10" t="s">
        <v>162</v>
      </c>
      <c r="G60" s="10" t="s">
        <v>163</v>
      </c>
      <c r="H60" s="10" t="s">
        <v>244</v>
      </c>
      <c r="I60" s="19">
        <f t="shared" ref="I60:I91" si="7">INDEX($F$6:$I$15,MATCH($C60,$B$6:$B$15,0),MATCH($D60,$F$5:$I$5,0))</f>
        <v>3</v>
      </c>
      <c r="J60" s="20">
        <f t="shared" ref="J60:J91" si="8">INDEX($C$6:$C$15,MATCH($C60,$B$6:$B$15,0))</f>
        <v>0.15</v>
      </c>
      <c r="K60" s="19">
        <f t="shared" ref="K60:K91" si="9">MAX(1,MIN(5,I60+E60))</f>
        <v>3</v>
      </c>
      <c r="L60" s="21">
        <f t="shared" ref="L60:L91" si="10">J60*K60</f>
        <v>0.44999999999999996</v>
      </c>
    </row>
    <row r="61" spans="1:20" ht="58" customHeight="1">
      <c r="A61" s="10" t="s">
        <v>2</v>
      </c>
      <c r="B61" s="10" t="s">
        <v>7</v>
      </c>
      <c r="C61" s="10" t="s">
        <v>40</v>
      </c>
      <c r="D61" s="10" t="s">
        <v>10</v>
      </c>
      <c r="E61" s="22">
        <v>0</v>
      </c>
      <c r="F61" s="10" t="s">
        <v>162</v>
      </c>
      <c r="G61" s="10" t="s">
        <v>163</v>
      </c>
      <c r="H61" s="10" t="s">
        <v>245</v>
      </c>
      <c r="I61" s="19">
        <f t="shared" si="7"/>
        <v>5</v>
      </c>
      <c r="J61" s="20">
        <f t="shared" si="8"/>
        <v>0.15</v>
      </c>
      <c r="K61" s="19">
        <f t="shared" si="9"/>
        <v>5</v>
      </c>
      <c r="L61" s="21">
        <f t="shared" si="10"/>
        <v>0.75</v>
      </c>
    </row>
    <row r="62" spans="1:20" ht="58" customHeight="1">
      <c r="A62" s="10" t="s">
        <v>2</v>
      </c>
      <c r="B62" s="10" t="s">
        <v>7</v>
      </c>
      <c r="C62" s="10" t="s">
        <v>40</v>
      </c>
      <c r="D62" s="10" t="s">
        <v>11</v>
      </c>
      <c r="E62" s="22">
        <v>0.5</v>
      </c>
      <c r="F62" s="10" t="s">
        <v>170</v>
      </c>
      <c r="G62" s="10" t="s">
        <v>100</v>
      </c>
      <c r="H62" s="10" t="s">
        <v>246</v>
      </c>
      <c r="I62" s="19">
        <f t="shared" si="7"/>
        <v>2</v>
      </c>
      <c r="J62" s="20">
        <f t="shared" si="8"/>
        <v>0.15</v>
      </c>
      <c r="K62" s="19">
        <f t="shared" si="9"/>
        <v>2.5</v>
      </c>
      <c r="L62" s="21">
        <f t="shared" si="10"/>
        <v>0.375</v>
      </c>
    </row>
    <row r="63" spans="1:20" ht="58" customHeight="1">
      <c r="A63" s="10" t="s">
        <v>2</v>
      </c>
      <c r="B63" s="10" t="s">
        <v>7</v>
      </c>
      <c r="C63" s="10" t="s">
        <v>40</v>
      </c>
      <c r="D63" s="10" t="s">
        <v>12</v>
      </c>
      <c r="E63" s="22">
        <v>0</v>
      </c>
      <c r="F63" s="10" t="s">
        <v>162</v>
      </c>
      <c r="G63" s="10" t="s">
        <v>163</v>
      </c>
      <c r="H63" s="10" t="s">
        <v>247</v>
      </c>
      <c r="I63" s="19">
        <f t="shared" si="7"/>
        <v>5</v>
      </c>
      <c r="J63" s="20">
        <f t="shared" si="8"/>
        <v>0.15</v>
      </c>
      <c r="K63" s="19">
        <f t="shared" si="9"/>
        <v>5</v>
      </c>
      <c r="L63" s="21">
        <f t="shared" si="10"/>
        <v>0.75</v>
      </c>
    </row>
    <row r="64" spans="1:20" ht="58" customHeight="1">
      <c r="A64" s="10" t="s">
        <v>2</v>
      </c>
      <c r="B64" s="10" t="s">
        <v>7</v>
      </c>
      <c r="C64" s="10" t="s">
        <v>41</v>
      </c>
      <c r="D64" s="10" t="s">
        <v>9</v>
      </c>
      <c r="E64" s="22">
        <v>0</v>
      </c>
      <c r="F64" s="10" t="s">
        <v>162</v>
      </c>
      <c r="G64" s="10" t="s">
        <v>163</v>
      </c>
      <c r="H64" s="10" t="s">
        <v>248</v>
      </c>
      <c r="I64" s="19">
        <f t="shared" si="7"/>
        <v>3</v>
      </c>
      <c r="J64" s="20">
        <f t="shared" si="8"/>
        <v>0.15</v>
      </c>
      <c r="K64" s="19">
        <f t="shared" si="9"/>
        <v>3</v>
      </c>
      <c r="L64" s="21">
        <f t="shared" si="10"/>
        <v>0.44999999999999996</v>
      </c>
    </row>
    <row r="65" spans="1:12" ht="58" customHeight="1">
      <c r="A65" s="10" t="s">
        <v>2</v>
      </c>
      <c r="B65" s="10" t="s">
        <v>7</v>
      </c>
      <c r="C65" s="10" t="s">
        <v>41</v>
      </c>
      <c r="D65" s="10" t="s">
        <v>10</v>
      </c>
      <c r="E65" s="22">
        <v>0</v>
      </c>
      <c r="F65" s="10" t="s">
        <v>162</v>
      </c>
      <c r="G65" s="10" t="s">
        <v>163</v>
      </c>
      <c r="H65" s="10" t="s">
        <v>249</v>
      </c>
      <c r="I65" s="19">
        <f t="shared" si="7"/>
        <v>4</v>
      </c>
      <c r="J65" s="20">
        <f t="shared" si="8"/>
        <v>0.15</v>
      </c>
      <c r="K65" s="19">
        <f t="shared" si="9"/>
        <v>4</v>
      </c>
      <c r="L65" s="21">
        <f t="shared" si="10"/>
        <v>0.6</v>
      </c>
    </row>
    <row r="66" spans="1:12" ht="58" customHeight="1">
      <c r="A66" s="10" t="s">
        <v>2</v>
      </c>
      <c r="B66" s="10" t="s">
        <v>7</v>
      </c>
      <c r="C66" s="10" t="s">
        <v>41</v>
      </c>
      <c r="D66" s="10" t="s">
        <v>11</v>
      </c>
      <c r="E66" s="22">
        <v>0</v>
      </c>
      <c r="F66" s="10" t="s">
        <v>162</v>
      </c>
      <c r="G66" s="10" t="s">
        <v>163</v>
      </c>
      <c r="H66" s="10" t="s">
        <v>250</v>
      </c>
      <c r="I66" s="19">
        <f t="shared" si="7"/>
        <v>5</v>
      </c>
      <c r="J66" s="20">
        <f t="shared" si="8"/>
        <v>0.15</v>
      </c>
      <c r="K66" s="19">
        <f t="shared" si="9"/>
        <v>5</v>
      </c>
      <c r="L66" s="21">
        <f t="shared" si="10"/>
        <v>0.75</v>
      </c>
    </row>
    <row r="67" spans="1:12" ht="58" customHeight="1">
      <c r="A67" s="10" t="s">
        <v>2</v>
      </c>
      <c r="B67" s="10" t="s">
        <v>7</v>
      </c>
      <c r="C67" s="10" t="s">
        <v>41</v>
      </c>
      <c r="D67" s="10" t="s">
        <v>12</v>
      </c>
      <c r="E67" s="22">
        <v>0</v>
      </c>
      <c r="F67" s="10" t="s">
        <v>162</v>
      </c>
      <c r="G67" s="10" t="s">
        <v>163</v>
      </c>
      <c r="H67" s="10" t="s">
        <v>251</v>
      </c>
      <c r="I67" s="19">
        <f t="shared" si="7"/>
        <v>1</v>
      </c>
      <c r="J67" s="20">
        <f t="shared" si="8"/>
        <v>0.15</v>
      </c>
      <c r="K67" s="19">
        <f t="shared" si="9"/>
        <v>1</v>
      </c>
      <c r="L67" s="21">
        <f t="shared" si="10"/>
        <v>0.15</v>
      </c>
    </row>
    <row r="68" spans="1:12" ht="58" customHeight="1">
      <c r="A68" s="10" t="s">
        <v>70</v>
      </c>
      <c r="B68" s="10" t="s">
        <v>6</v>
      </c>
      <c r="C68" s="10" t="s">
        <v>32</v>
      </c>
      <c r="D68" s="10" t="s">
        <v>9</v>
      </c>
      <c r="E68" s="22">
        <v>0</v>
      </c>
      <c r="F68" s="10" t="s">
        <v>162</v>
      </c>
      <c r="G68" s="10" t="s">
        <v>163</v>
      </c>
      <c r="H68" s="10" t="s">
        <v>252</v>
      </c>
      <c r="I68" s="19">
        <f t="shared" si="7"/>
        <v>2</v>
      </c>
      <c r="J68" s="20">
        <f t="shared" si="8"/>
        <v>0.3</v>
      </c>
      <c r="K68" s="19">
        <f t="shared" si="9"/>
        <v>2</v>
      </c>
      <c r="L68" s="21">
        <f t="shared" si="10"/>
        <v>0.6</v>
      </c>
    </row>
    <row r="69" spans="1:12" ht="58" customHeight="1">
      <c r="A69" s="10" t="s">
        <v>70</v>
      </c>
      <c r="B69" s="10" t="s">
        <v>6</v>
      </c>
      <c r="C69" s="10" t="s">
        <v>32</v>
      </c>
      <c r="D69" s="10" t="s">
        <v>10</v>
      </c>
      <c r="E69" s="22">
        <v>0.5</v>
      </c>
      <c r="F69" s="10" t="s">
        <v>253</v>
      </c>
      <c r="G69" s="10" t="s">
        <v>174</v>
      </c>
      <c r="H69" s="10" t="s">
        <v>254</v>
      </c>
      <c r="I69" s="19">
        <f t="shared" si="7"/>
        <v>4</v>
      </c>
      <c r="J69" s="20">
        <f t="shared" si="8"/>
        <v>0.3</v>
      </c>
      <c r="K69" s="19">
        <f t="shared" si="9"/>
        <v>4.5</v>
      </c>
      <c r="L69" s="21">
        <f t="shared" si="10"/>
        <v>1.3499999999999999</v>
      </c>
    </row>
    <row r="70" spans="1:12" ht="58" customHeight="1">
      <c r="A70" s="10" t="s">
        <v>70</v>
      </c>
      <c r="B70" s="10" t="s">
        <v>6</v>
      </c>
      <c r="C70" s="10" t="s">
        <v>32</v>
      </c>
      <c r="D70" s="10" t="s">
        <v>11</v>
      </c>
      <c r="E70" s="22">
        <v>0.5</v>
      </c>
      <c r="F70" s="10" t="s">
        <v>255</v>
      </c>
      <c r="G70" s="10" t="s">
        <v>174</v>
      </c>
      <c r="H70" s="10" t="s">
        <v>256</v>
      </c>
      <c r="I70" s="19">
        <f t="shared" si="7"/>
        <v>4</v>
      </c>
      <c r="J70" s="20">
        <f t="shared" si="8"/>
        <v>0.3</v>
      </c>
      <c r="K70" s="19">
        <f t="shared" si="9"/>
        <v>4.5</v>
      </c>
      <c r="L70" s="21">
        <f t="shared" si="10"/>
        <v>1.3499999999999999</v>
      </c>
    </row>
    <row r="71" spans="1:12" ht="58" customHeight="1">
      <c r="A71" s="10" t="s">
        <v>70</v>
      </c>
      <c r="B71" s="10" t="s">
        <v>6</v>
      </c>
      <c r="C71" s="10" t="s">
        <v>32</v>
      </c>
      <c r="D71" s="10" t="s">
        <v>12</v>
      </c>
      <c r="E71" s="22">
        <v>0</v>
      </c>
      <c r="F71" s="10" t="s">
        <v>162</v>
      </c>
      <c r="G71" s="10" t="s">
        <v>163</v>
      </c>
      <c r="H71" s="10" t="s">
        <v>257</v>
      </c>
      <c r="I71" s="19">
        <f t="shared" si="7"/>
        <v>5</v>
      </c>
      <c r="J71" s="20">
        <f t="shared" si="8"/>
        <v>0.3</v>
      </c>
      <c r="K71" s="19">
        <f t="shared" si="9"/>
        <v>5</v>
      </c>
      <c r="L71" s="21">
        <f t="shared" si="10"/>
        <v>1.5</v>
      </c>
    </row>
    <row r="72" spans="1:12" ht="58" customHeight="1">
      <c r="A72" s="10" t="s">
        <v>70</v>
      </c>
      <c r="B72" s="10" t="s">
        <v>6</v>
      </c>
      <c r="C72" s="10" t="s">
        <v>33</v>
      </c>
      <c r="D72" s="10" t="s">
        <v>9</v>
      </c>
      <c r="E72" s="22">
        <v>-0.5</v>
      </c>
      <c r="F72" s="10" t="s">
        <v>258</v>
      </c>
      <c r="G72" s="10" t="s">
        <v>259</v>
      </c>
      <c r="H72" s="10" t="s">
        <v>260</v>
      </c>
      <c r="I72" s="19">
        <f t="shared" si="7"/>
        <v>4</v>
      </c>
      <c r="J72" s="20">
        <f t="shared" si="8"/>
        <v>0.2</v>
      </c>
      <c r="K72" s="19">
        <f t="shared" si="9"/>
        <v>3.5</v>
      </c>
      <c r="L72" s="21">
        <f t="shared" si="10"/>
        <v>0.70000000000000007</v>
      </c>
    </row>
    <row r="73" spans="1:12" ht="58" customHeight="1">
      <c r="A73" s="10" t="s">
        <v>70</v>
      </c>
      <c r="B73" s="10" t="s">
        <v>6</v>
      </c>
      <c r="C73" s="10" t="s">
        <v>33</v>
      </c>
      <c r="D73" s="10" t="s">
        <v>10</v>
      </c>
      <c r="E73" s="22">
        <v>0.5</v>
      </c>
      <c r="F73" s="10" t="s">
        <v>261</v>
      </c>
      <c r="G73" s="10" t="s">
        <v>174</v>
      </c>
      <c r="H73" s="10" t="s">
        <v>262</v>
      </c>
      <c r="I73" s="19">
        <f t="shared" si="7"/>
        <v>2</v>
      </c>
      <c r="J73" s="20">
        <f t="shared" si="8"/>
        <v>0.2</v>
      </c>
      <c r="K73" s="19">
        <f t="shared" si="9"/>
        <v>2.5</v>
      </c>
      <c r="L73" s="21">
        <f t="shared" si="10"/>
        <v>0.5</v>
      </c>
    </row>
    <row r="74" spans="1:12" ht="58" customHeight="1">
      <c r="A74" s="10" t="s">
        <v>70</v>
      </c>
      <c r="B74" s="10" t="s">
        <v>6</v>
      </c>
      <c r="C74" s="10" t="s">
        <v>33</v>
      </c>
      <c r="D74" s="10" t="s">
        <v>11</v>
      </c>
      <c r="E74" s="22">
        <v>-0.5</v>
      </c>
      <c r="F74" s="10" t="s">
        <v>263</v>
      </c>
      <c r="G74" s="10" t="s">
        <v>100</v>
      </c>
      <c r="H74" s="10" t="s">
        <v>264</v>
      </c>
      <c r="I74" s="19">
        <f t="shared" si="7"/>
        <v>3</v>
      </c>
      <c r="J74" s="20">
        <f t="shared" si="8"/>
        <v>0.2</v>
      </c>
      <c r="K74" s="19">
        <f t="shared" si="9"/>
        <v>2.5</v>
      </c>
      <c r="L74" s="21">
        <f t="shared" si="10"/>
        <v>0.5</v>
      </c>
    </row>
    <row r="75" spans="1:12" ht="58" customHeight="1">
      <c r="A75" s="10" t="s">
        <v>70</v>
      </c>
      <c r="B75" s="10" t="s">
        <v>6</v>
      </c>
      <c r="C75" s="10" t="s">
        <v>33</v>
      </c>
      <c r="D75" s="10" t="s">
        <v>12</v>
      </c>
      <c r="E75" s="22">
        <v>0</v>
      </c>
      <c r="F75" s="10" t="s">
        <v>162</v>
      </c>
      <c r="G75" s="10" t="s">
        <v>163</v>
      </c>
      <c r="H75" s="10" t="s">
        <v>265</v>
      </c>
      <c r="I75" s="19">
        <f t="shared" si="7"/>
        <v>1</v>
      </c>
      <c r="J75" s="20">
        <f t="shared" si="8"/>
        <v>0.2</v>
      </c>
      <c r="K75" s="19">
        <f t="shared" si="9"/>
        <v>1</v>
      </c>
      <c r="L75" s="21">
        <f t="shared" si="10"/>
        <v>0.2</v>
      </c>
    </row>
    <row r="76" spans="1:12" ht="58" customHeight="1">
      <c r="A76" s="10" t="s">
        <v>70</v>
      </c>
      <c r="B76" s="10" t="s">
        <v>6</v>
      </c>
      <c r="C76" s="10" t="s">
        <v>34</v>
      </c>
      <c r="D76" s="10" t="s">
        <v>9</v>
      </c>
      <c r="E76" s="22">
        <v>0</v>
      </c>
      <c r="F76" s="10" t="s">
        <v>162</v>
      </c>
      <c r="G76" s="10" t="s">
        <v>163</v>
      </c>
      <c r="H76" s="10" t="s">
        <v>266</v>
      </c>
      <c r="I76" s="19">
        <f t="shared" si="7"/>
        <v>1</v>
      </c>
      <c r="J76" s="20">
        <f t="shared" si="8"/>
        <v>0.2</v>
      </c>
      <c r="K76" s="19">
        <f t="shared" si="9"/>
        <v>1</v>
      </c>
      <c r="L76" s="21">
        <f t="shared" si="10"/>
        <v>0.2</v>
      </c>
    </row>
    <row r="77" spans="1:12" ht="58" customHeight="1">
      <c r="A77" s="10" t="s">
        <v>70</v>
      </c>
      <c r="B77" s="10" t="s">
        <v>6</v>
      </c>
      <c r="C77" s="10" t="s">
        <v>34</v>
      </c>
      <c r="D77" s="10" t="s">
        <v>10</v>
      </c>
      <c r="E77" s="22">
        <v>0.5</v>
      </c>
      <c r="F77" s="10" t="s">
        <v>267</v>
      </c>
      <c r="G77" s="10" t="s">
        <v>174</v>
      </c>
      <c r="H77" s="10" t="s">
        <v>268</v>
      </c>
      <c r="I77" s="19">
        <f t="shared" si="7"/>
        <v>5</v>
      </c>
      <c r="J77" s="20">
        <f t="shared" si="8"/>
        <v>0.2</v>
      </c>
      <c r="K77" s="19">
        <f t="shared" si="9"/>
        <v>5</v>
      </c>
      <c r="L77" s="21">
        <f t="shared" si="10"/>
        <v>1</v>
      </c>
    </row>
    <row r="78" spans="1:12" ht="58" customHeight="1">
      <c r="A78" s="10" t="s">
        <v>70</v>
      </c>
      <c r="B78" s="10" t="s">
        <v>6</v>
      </c>
      <c r="C78" s="10" t="s">
        <v>34</v>
      </c>
      <c r="D78" s="10" t="s">
        <v>11</v>
      </c>
      <c r="E78" s="22">
        <v>0</v>
      </c>
      <c r="F78" s="10" t="s">
        <v>162</v>
      </c>
      <c r="G78" s="10" t="s">
        <v>163</v>
      </c>
      <c r="H78" s="10" t="s">
        <v>269</v>
      </c>
      <c r="I78" s="19">
        <f t="shared" si="7"/>
        <v>3</v>
      </c>
      <c r="J78" s="20">
        <f t="shared" si="8"/>
        <v>0.2</v>
      </c>
      <c r="K78" s="19">
        <f t="shared" si="9"/>
        <v>3</v>
      </c>
      <c r="L78" s="21">
        <f t="shared" si="10"/>
        <v>0.60000000000000009</v>
      </c>
    </row>
    <row r="79" spans="1:12" ht="58" customHeight="1">
      <c r="A79" s="10" t="s">
        <v>70</v>
      </c>
      <c r="B79" s="10" t="s">
        <v>6</v>
      </c>
      <c r="C79" s="10" t="s">
        <v>34</v>
      </c>
      <c r="D79" s="10" t="s">
        <v>12</v>
      </c>
      <c r="E79" s="22">
        <v>-0.5</v>
      </c>
      <c r="F79" s="10" t="s">
        <v>270</v>
      </c>
      <c r="G79" s="10" t="s">
        <v>174</v>
      </c>
      <c r="H79" s="10" t="s">
        <v>271</v>
      </c>
      <c r="I79" s="19">
        <f t="shared" si="7"/>
        <v>2</v>
      </c>
      <c r="J79" s="20">
        <f t="shared" si="8"/>
        <v>0.2</v>
      </c>
      <c r="K79" s="19">
        <f t="shared" si="9"/>
        <v>1.5</v>
      </c>
      <c r="L79" s="21">
        <f t="shared" si="10"/>
        <v>0.30000000000000004</v>
      </c>
    </row>
    <row r="80" spans="1:12" ht="58" customHeight="1">
      <c r="A80" s="10" t="s">
        <v>70</v>
      </c>
      <c r="B80" s="10" t="s">
        <v>6</v>
      </c>
      <c r="C80" s="10" t="s">
        <v>35</v>
      </c>
      <c r="D80" s="10" t="s">
        <v>9</v>
      </c>
      <c r="E80" s="22">
        <v>0</v>
      </c>
      <c r="F80" s="10" t="s">
        <v>162</v>
      </c>
      <c r="G80" s="10" t="s">
        <v>163</v>
      </c>
      <c r="H80" s="10" t="s">
        <v>272</v>
      </c>
      <c r="I80" s="19">
        <f t="shared" si="7"/>
        <v>5</v>
      </c>
      <c r="J80" s="20">
        <f t="shared" si="8"/>
        <v>0.15</v>
      </c>
      <c r="K80" s="19">
        <f t="shared" si="9"/>
        <v>5</v>
      </c>
      <c r="L80" s="21">
        <f t="shared" si="10"/>
        <v>0.75</v>
      </c>
    </row>
    <row r="81" spans="1:12" ht="58" customHeight="1">
      <c r="A81" s="10" t="s">
        <v>70</v>
      </c>
      <c r="B81" s="10" t="s">
        <v>6</v>
      </c>
      <c r="C81" s="10" t="s">
        <v>35</v>
      </c>
      <c r="D81" s="10" t="s">
        <v>10</v>
      </c>
      <c r="E81" s="22">
        <v>0.5</v>
      </c>
      <c r="F81" s="10" t="s">
        <v>185</v>
      </c>
      <c r="G81" s="10" t="s">
        <v>100</v>
      </c>
      <c r="H81" s="10" t="s">
        <v>273</v>
      </c>
      <c r="I81" s="19">
        <f t="shared" si="7"/>
        <v>4</v>
      </c>
      <c r="J81" s="20">
        <f t="shared" si="8"/>
        <v>0.15</v>
      </c>
      <c r="K81" s="19">
        <f t="shared" si="9"/>
        <v>4.5</v>
      </c>
      <c r="L81" s="21">
        <f t="shared" si="10"/>
        <v>0.67499999999999993</v>
      </c>
    </row>
    <row r="82" spans="1:12" ht="58" customHeight="1">
      <c r="A82" s="10" t="s">
        <v>70</v>
      </c>
      <c r="B82" s="10" t="s">
        <v>6</v>
      </c>
      <c r="C82" s="10" t="s">
        <v>35</v>
      </c>
      <c r="D82" s="10" t="s">
        <v>11</v>
      </c>
      <c r="E82" s="22">
        <v>0</v>
      </c>
      <c r="F82" s="10" t="s">
        <v>162</v>
      </c>
      <c r="G82" s="10" t="s">
        <v>163</v>
      </c>
      <c r="H82" s="10" t="s">
        <v>274</v>
      </c>
      <c r="I82" s="19">
        <f t="shared" si="7"/>
        <v>2</v>
      </c>
      <c r="J82" s="20">
        <f t="shared" si="8"/>
        <v>0.15</v>
      </c>
      <c r="K82" s="19">
        <f t="shared" si="9"/>
        <v>2</v>
      </c>
      <c r="L82" s="21">
        <f t="shared" si="10"/>
        <v>0.3</v>
      </c>
    </row>
    <row r="83" spans="1:12" ht="58" customHeight="1">
      <c r="A83" s="10" t="s">
        <v>70</v>
      </c>
      <c r="B83" s="10" t="s">
        <v>6</v>
      </c>
      <c r="C83" s="10" t="s">
        <v>35</v>
      </c>
      <c r="D83" s="10" t="s">
        <v>12</v>
      </c>
      <c r="E83" s="22">
        <v>0</v>
      </c>
      <c r="F83" s="10" t="s">
        <v>162</v>
      </c>
      <c r="G83" s="10" t="s">
        <v>163</v>
      </c>
      <c r="H83" s="10" t="s">
        <v>275</v>
      </c>
      <c r="I83" s="19">
        <f t="shared" si="7"/>
        <v>2</v>
      </c>
      <c r="J83" s="20">
        <f t="shared" si="8"/>
        <v>0.15</v>
      </c>
      <c r="K83" s="19">
        <f t="shared" si="9"/>
        <v>2</v>
      </c>
      <c r="L83" s="21">
        <f t="shared" si="10"/>
        <v>0.3</v>
      </c>
    </row>
    <row r="84" spans="1:12" ht="58" customHeight="1">
      <c r="A84" s="10" t="s">
        <v>70</v>
      </c>
      <c r="B84" s="10" t="s">
        <v>6</v>
      </c>
      <c r="C84" s="10" t="s">
        <v>36</v>
      </c>
      <c r="D84" s="10" t="s">
        <v>9</v>
      </c>
      <c r="E84" s="22">
        <v>0</v>
      </c>
      <c r="F84" s="10" t="s">
        <v>162</v>
      </c>
      <c r="G84" s="10" t="s">
        <v>163</v>
      </c>
      <c r="H84" s="10" t="s">
        <v>276</v>
      </c>
      <c r="I84" s="19">
        <f t="shared" si="7"/>
        <v>4</v>
      </c>
      <c r="J84" s="20">
        <f t="shared" si="8"/>
        <v>0.15</v>
      </c>
      <c r="K84" s="19">
        <f t="shared" si="9"/>
        <v>4</v>
      </c>
      <c r="L84" s="21">
        <f t="shared" si="10"/>
        <v>0.6</v>
      </c>
    </row>
    <row r="85" spans="1:12" ht="58" customHeight="1">
      <c r="A85" s="10" t="s">
        <v>70</v>
      </c>
      <c r="B85" s="10" t="s">
        <v>6</v>
      </c>
      <c r="C85" s="10" t="s">
        <v>36</v>
      </c>
      <c r="D85" s="10" t="s">
        <v>10</v>
      </c>
      <c r="E85" s="22">
        <v>0</v>
      </c>
      <c r="F85" s="10" t="s">
        <v>162</v>
      </c>
      <c r="G85" s="10" t="s">
        <v>163</v>
      </c>
      <c r="H85" s="10" t="s">
        <v>277</v>
      </c>
      <c r="I85" s="19">
        <f t="shared" si="7"/>
        <v>3</v>
      </c>
      <c r="J85" s="20">
        <f t="shared" si="8"/>
        <v>0.15</v>
      </c>
      <c r="K85" s="19">
        <f t="shared" si="9"/>
        <v>3</v>
      </c>
      <c r="L85" s="21">
        <f t="shared" si="10"/>
        <v>0.44999999999999996</v>
      </c>
    </row>
    <row r="86" spans="1:12" ht="58" customHeight="1">
      <c r="A86" s="10" t="s">
        <v>70</v>
      </c>
      <c r="B86" s="10" t="s">
        <v>6</v>
      </c>
      <c r="C86" s="10" t="s">
        <v>36</v>
      </c>
      <c r="D86" s="10" t="s">
        <v>11</v>
      </c>
      <c r="E86" s="22">
        <v>0</v>
      </c>
      <c r="F86" s="10" t="s">
        <v>162</v>
      </c>
      <c r="G86" s="10" t="s">
        <v>163</v>
      </c>
      <c r="H86" s="10" t="s">
        <v>278</v>
      </c>
      <c r="I86" s="19">
        <f t="shared" si="7"/>
        <v>2</v>
      </c>
      <c r="J86" s="20">
        <f t="shared" si="8"/>
        <v>0.15</v>
      </c>
      <c r="K86" s="19">
        <f t="shared" si="9"/>
        <v>2</v>
      </c>
      <c r="L86" s="21">
        <f t="shared" si="10"/>
        <v>0.3</v>
      </c>
    </row>
    <row r="87" spans="1:12" ht="58" customHeight="1">
      <c r="A87" s="10" t="s">
        <v>70</v>
      </c>
      <c r="B87" s="10" t="s">
        <v>6</v>
      </c>
      <c r="C87" s="10" t="s">
        <v>36</v>
      </c>
      <c r="D87" s="10" t="s">
        <v>12</v>
      </c>
      <c r="E87" s="22">
        <v>0</v>
      </c>
      <c r="F87" s="10" t="s">
        <v>162</v>
      </c>
      <c r="G87" s="10" t="s">
        <v>163</v>
      </c>
      <c r="H87" s="10" t="s">
        <v>279</v>
      </c>
      <c r="I87" s="19">
        <f t="shared" si="7"/>
        <v>5</v>
      </c>
      <c r="J87" s="20">
        <f t="shared" si="8"/>
        <v>0.15</v>
      </c>
      <c r="K87" s="19">
        <f t="shared" si="9"/>
        <v>5</v>
      </c>
      <c r="L87" s="21">
        <f t="shared" si="10"/>
        <v>0.75</v>
      </c>
    </row>
    <row r="88" spans="1:12" ht="58" customHeight="1">
      <c r="A88" s="10" t="s">
        <v>70</v>
      </c>
      <c r="B88" s="10" t="s">
        <v>7</v>
      </c>
      <c r="C88" s="10" t="s">
        <v>37</v>
      </c>
      <c r="D88" s="10" t="s">
        <v>9</v>
      </c>
      <c r="E88" s="22">
        <v>0</v>
      </c>
      <c r="F88" s="10" t="s">
        <v>162</v>
      </c>
      <c r="G88" s="10" t="s">
        <v>163</v>
      </c>
      <c r="H88" s="10" t="s">
        <v>280</v>
      </c>
      <c r="I88" s="19">
        <f t="shared" si="7"/>
        <v>2</v>
      </c>
      <c r="J88" s="20">
        <f t="shared" si="8"/>
        <v>0.3</v>
      </c>
      <c r="K88" s="19">
        <f t="shared" si="9"/>
        <v>2</v>
      </c>
      <c r="L88" s="21">
        <f t="shared" si="10"/>
        <v>0.6</v>
      </c>
    </row>
    <row r="89" spans="1:12" ht="58" customHeight="1">
      <c r="A89" s="10" t="s">
        <v>70</v>
      </c>
      <c r="B89" s="10" t="s">
        <v>7</v>
      </c>
      <c r="C89" s="10" t="s">
        <v>37</v>
      </c>
      <c r="D89" s="10" t="s">
        <v>10</v>
      </c>
      <c r="E89" s="22">
        <v>0.5</v>
      </c>
      <c r="F89" s="10" t="s">
        <v>281</v>
      </c>
      <c r="G89" s="10" t="s">
        <v>100</v>
      </c>
      <c r="H89" s="10" t="s">
        <v>282</v>
      </c>
      <c r="I89" s="19">
        <f t="shared" si="7"/>
        <v>5</v>
      </c>
      <c r="J89" s="20">
        <f t="shared" si="8"/>
        <v>0.3</v>
      </c>
      <c r="K89" s="19">
        <f t="shared" si="9"/>
        <v>5</v>
      </c>
      <c r="L89" s="21">
        <f t="shared" si="10"/>
        <v>1.5</v>
      </c>
    </row>
    <row r="90" spans="1:12" ht="58" customHeight="1">
      <c r="A90" s="10" t="s">
        <v>70</v>
      </c>
      <c r="B90" s="10" t="s">
        <v>7</v>
      </c>
      <c r="C90" s="10" t="s">
        <v>37</v>
      </c>
      <c r="D90" s="10" t="s">
        <v>11</v>
      </c>
      <c r="E90" s="22">
        <v>0.5</v>
      </c>
      <c r="F90" s="10" t="s">
        <v>283</v>
      </c>
      <c r="G90" s="10" t="s">
        <v>284</v>
      </c>
      <c r="H90" s="10" t="s">
        <v>285</v>
      </c>
      <c r="I90" s="19">
        <f t="shared" si="7"/>
        <v>4</v>
      </c>
      <c r="J90" s="20">
        <f t="shared" si="8"/>
        <v>0.3</v>
      </c>
      <c r="K90" s="19">
        <f t="shared" si="9"/>
        <v>4.5</v>
      </c>
      <c r="L90" s="21">
        <f t="shared" si="10"/>
        <v>1.3499999999999999</v>
      </c>
    </row>
    <row r="91" spans="1:12" ht="58" customHeight="1">
      <c r="A91" s="10" t="s">
        <v>70</v>
      </c>
      <c r="B91" s="10" t="s">
        <v>7</v>
      </c>
      <c r="C91" s="10" t="s">
        <v>37</v>
      </c>
      <c r="D91" s="10" t="s">
        <v>12</v>
      </c>
      <c r="E91" s="22">
        <v>0</v>
      </c>
      <c r="F91" s="10" t="s">
        <v>162</v>
      </c>
      <c r="G91" s="10" t="s">
        <v>163</v>
      </c>
      <c r="H91" s="10" t="s">
        <v>286</v>
      </c>
      <c r="I91" s="19">
        <f t="shared" si="7"/>
        <v>2</v>
      </c>
      <c r="J91" s="20">
        <f t="shared" si="8"/>
        <v>0.3</v>
      </c>
      <c r="K91" s="19">
        <f t="shared" si="9"/>
        <v>2</v>
      </c>
      <c r="L91" s="21">
        <f t="shared" si="10"/>
        <v>0.6</v>
      </c>
    </row>
    <row r="92" spans="1:12" ht="58" customHeight="1">
      <c r="A92" s="10" t="s">
        <v>70</v>
      </c>
      <c r="B92" s="10" t="s">
        <v>7</v>
      </c>
      <c r="C92" s="10" t="s">
        <v>38</v>
      </c>
      <c r="D92" s="10" t="s">
        <v>9</v>
      </c>
      <c r="E92" s="22">
        <v>0</v>
      </c>
      <c r="F92" s="10" t="s">
        <v>162</v>
      </c>
      <c r="G92" s="10" t="s">
        <v>163</v>
      </c>
      <c r="H92" s="10" t="s">
        <v>287</v>
      </c>
      <c r="I92" s="19">
        <f t="shared" ref="I92:I123" si="11">INDEX($F$6:$I$15,MATCH($C92,$B$6:$B$15,0),MATCH($D92,$F$5:$I$5,0))</f>
        <v>1</v>
      </c>
      <c r="J92" s="20">
        <f t="shared" ref="J92:J123" si="12">INDEX($C$6:$C$15,MATCH($C92,$B$6:$B$15,0))</f>
        <v>0.2</v>
      </c>
      <c r="K92" s="19">
        <f t="shared" ref="K92:K123" si="13">MAX(1,MIN(5,I92+E92))</f>
        <v>1</v>
      </c>
      <c r="L92" s="21">
        <f t="shared" ref="L92:L123" si="14">J92*K92</f>
        <v>0.2</v>
      </c>
    </row>
    <row r="93" spans="1:12" ht="58" customHeight="1">
      <c r="A93" s="10" t="s">
        <v>70</v>
      </c>
      <c r="B93" s="10" t="s">
        <v>7</v>
      </c>
      <c r="C93" s="10" t="s">
        <v>38</v>
      </c>
      <c r="D93" s="10" t="s">
        <v>10</v>
      </c>
      <c r="E93" s="22">
        <v>0.5</v>
      </c>
      <c r="F93" s="10" t="s">
        <v>193</v>
      </c>
      <c r="G93" s="10" t="s">
        <v>100</v>
      </c>
      <c r="H93" s="10" t="s">
        <v>288</v>
      </c>
      <c r="I93" s="19">
        <f t="shared" si="11"/>
        <v>4</v>
      </c>
      <c r="J93" s="20">
        <f t="shared" si="12"/>
        <v>0.2</v>
      </c>
      <c r="K93" s="19">
        <f t="shared" si="13"/>
        <v>4.5</v>
      </c>
      <c r="L93" s="21">
        <f t="shared" si="14"/>
        <v>0.9</v>
      </c>
    </row>
    <row r="94" spans="1:12" ht="58" customHeight="1">
      <c r="A94" s="10" t="s">
        <v>70</v>
      </c>
      <c r="B94" s="10" t="s">
        <v>7</v>
      </c>
      <c r="C94" s="10" t="s">
        <v>38</v>
      </c>
      <c r="D94" s="10" t="s">
        <v>11</v>
      </c>
      <c r="E94" s="22">
        <v>0</v>
      </c>
      <c r="F94" s="10" t="s">
        <v>162</v>
      </c>
      <c r="G94" s="10" t="s">
        <v>163</v>
      </c>
      <c r="H94" s="10" t="s">
        <v>289</v>
      </c>
      <c r="I94" s="19">
        <f t="shared" si="11"/>
        <v>3</v>
      </c>
      <c r="J94" s="20">
        <f t="shared" si="12"/>
        <v>0.2</v>
      </c>
      <c r="K94" s="19">
        <f t="shared" si="13"/>
        <v>3</v>
      </c>
      <c r="L94" s="21">
        <f t="shared" si="14"/>
        <v>0.60000000000000009</v>
      </c>
    </row>
    <row r="95" spans="1:12" ht="58" customHeight="1">
      <c r="A95" s="10" t="s">
        <v>70</v>
      </c>
      <c r="B95" s="10" t="s">
        <v>7</v>
      </c>
      <c r="C95" s="10" t="s">
        <v>38</v>
      </c>
      <c r="D95" s="10" t="s">
        <v>12</v>
      </c>
      <c r="E95" s="22">
        <v>0</v>
      </c>
      <c r="F95" s="10" t="s">
        <v>162</v>
      </c>
      <c r="G95" s="10" t="s">
        <v>163</v>
      </c>
      <c r="H95" s="10" t="s">
        <v>290</v>
      </c>
      <c r="I95" s="19">
        <f t="shared" si="11"/>
        <v>1</v>
      </c>
      <c r="J95" s="20">
        <f t="shared" si="12"/>
        <v>0.2</v>
      </c>
      <c r="K95" s="19">
        <f t="shared" si="13"/>
        <v>1</v>
      </c>
      <c r="L95" s="21">
        <f t="shared" si="14"/>
        <v>0.2</v>
      </c>
    </row>
    <row r="96" spans="1:12" ht="58" customHeight="1">
      <c r="A96" s="10" t="s">
        <v>70</v>
      </c>
      <c r="B96" s="10" t="s">
        <v>7</v>
      </c>
      <c r="C96" s="10" t="s">
        <v>39</v>
      </c>
      <c r="D96" s="10" t="s">
        <v>9</v>
      </c>
      <c r="E96" s="22">
        <v>0</v>
      </c>
      <c r="F96" s="10" t="s">
        <v>162</v>
      </c>
      <c r="G96" s="10" t="s">
        <v>163</v>
      </c>
      <c r="H96" s="10" t="s">
        <v>291</v>
      </c>
      <c r="I96" s="19">
        <f t="shared" si="11"/>
        <v>4</v>
      </c>
      <c r="J96" s="20">
        <f t="shared" si="12"/>
        <v>0.2</v>
      </c>
      <c r="K96" s="19">
        <f t="shared" si="13"/>
        <v>4</v>
      </c>
      <c r="L96" s="21">
        <f t="shared" si="14"/>
        <v>0.8</v>
      </c>
    </row>
    <row r="97" spans="1:12" ht="58" customHeight="1">
      <c r="A97" s="10" t="s">
        <v>70</v>
      </c>
      <c r="B97" s="10" t="s">
        <v>7</v>
      </c>
      <c r="C97" s="10" t="s">
        <v>39</v>
      </c>
      <c r="D97" s="10" t="s">
        <v>10</v>
      </c>
      <c r="E97" s="22">
        <v>0.5</v>
      </c>
      <c r="F97" s="10" t="s">
        <v>292</v>
      </c>
      <c r="G97" s="10" t="s">
        <v>100</v>
      </c>
      <c r="H97" s="10" t="s">
        <v>293</v>
      </c>
      <c r="I97" s="19">
        <f t="shared" si="11"/>
        <v>3</v>
      </c>
      <c r="J97" s="20">
        <f t="shared" si="12"/>
        <v>0.2</v>
      </c>
      <c r="K97" s="19">
        <f t="shared" si="13"/>
        <v>3.5</v>
      </c>
      <c r="L97" s="21">
        <f t="shared" si="14"/>
        <v>0.70000000000000007</v>
      </c>
    </row>
    <row r="98" spans="1:12" ht="58" customHeight="1">
      <c r="A98" s="10" t="s">
        <v>70</v>
      </c>
      <c r="B98" s="10" t="s">
        <v>7</v>
      </c>
      <c r="C98" s="10" t="s">
        <v>39</v>
      </c>
      <c r="D98" s="10" t="s">
        <v>11</v>
      </c>
      <c r="E98" s="22">
        <v>-0.5</v>
      </c>
      <c r="F98" s="10" t="s">
        <v>294</v>
      </c>
      <c r="G98" s="10" t="s">
        <v>100</v>
      </c>
      <c r="H98" s="10" t="s">
        <v>295</v>
      </c>
      <c r="I98" s="19">
        <f t="shared" si="11"/>
        <v>2</v>
      </c>
      <c r="J98" s="20">
        <f t="shared" si="12"/>
        <v>0.2</v>
      </c>
      <c r="K98" s="19">
        <f t="shared" si="13"/>
        <v>1.5</v>
      </c>
      <c r="L98" s="21">
        <f t="shared" si="14"/>
        <v>0.30000000000000004</v>
      </c>
    </row>
    <row r="99" spans="1:12" ht="58" customHeight="1">
      <c r="A99" s="10" t="s">
        <v>70</v>
      </c>
      <c r="B99" s="10" t="s">
        <v>7</v>
      </c>
      <c r="C99" s="10" t="s">
        <v>39</v>
      </c>
      <c r="D99" s="10" t="s">
        <v>12</v>
      </c>
      <c r="E99" s="22">
        <v>0</v>
      </c>
      <c r="F99" s="10" t="s">
        <v>162</v>
      </c>
      <c r="G99" s="10" t="s">
        <v>163</v>
      </c>
      <c r="H99" s="10" t="s">
        <v>296</v>
      </c>
      <c r="I99" s="19">
        <f t="shared" si="11"/>
        <v>5</v>
      </c>
      <c r="J99" s="20">
        <f t="shared" si="12"/>
        <v>0.2</v>
      </c>
      <c r="K99" s="19">
        <f t="shared" si="13"/>
        <v>5</v>
      </c>
      <c r="L99" s="21">
        <f t="shared" si="14"/>
        <v>1</v>
      </c>
    </row>
    <row r="100" spans="1:12" ht="58" customHeight="1">
      <c r="A100" s="10" t="s">
        <v>70</v>
      </c>
      <c r="B100" s="10" t="s">
        <v>7</v>
      </c>
      <c r="C100" s="10" t="s">
        <v>40</v>
      </c>
      <c r="D100" s="10" t="s">
        <v>9</v>
      </c>
      <c r="E100" s="22">
        <v>0</v>
      </c>
      <c r="F100" s="10" t="s">
        <v>162</v>
      </c>
      <c r="G100" s="10" t="s">
        <v>163</v>
      </c>
      <c r="H100" s="10" t="s">
        <v>297</v>
      </c>
      <c r="I100" s="19">
        <f t="shared" si="11"/>
        <v>3</v>
      </c>
      <c r="J100" s="20">
        <f t="shared" si="12"/>
        <v>0.15</v>
      </c>
      <c r="K100" s="19">
        <f t="shared" si="13"/>
        <v>3</v>
      </c>
      <c r="L100" s="21">
        <f t="shared" si="14"/>
        <v>0.44999999999999996</v>
      </c>
    </row>
    <row r="101" spans="1:12" ht="58" customHeight="1">
      <c r="A101" s="10" t="s">
        <v>70</v>
      </c>
      <c r="B101" s="10" t="s">
        <v>7</v>
      </c>
      <c r="C101" s="10" t="s">
        <v>40</v>
      </c>
      <c r="D101" s="10" t="s">
        <v>10</v>
      </c>
      <c r="E101" s="22">
        <v>0</v>
      </c>
      <c r="F101" s="10" t="s">
        <v>162</v>
      </c>
      <c r="G101" s="10" t="s">
        <v>163</v>
      </c>
      <c r="H101" s="10" t="s">
        <v>298</v>
      </c>
      <c r="I101" s="19">
        <f t="shared" si="11"/>
        <v>5</v>
      </c>
      <c r="J101" s="20">
        <f t="shared" si="12"/>
        <v>0.15</v>
      </c>
      <c r="K101" s="19">
        <f t="shared" si="13"/>
        <v>5</v>
      </c>
      <c r="L101" s="21">
        <f t="shared" si="14"/>
        <v>0.75</v>
      </c>
    </row>
    <row r="102" spans="1:12" ht="58" customHeight="1">
      <c r="A102" s="10" t="s">
        <v>70</v>
      </c>
      <c r="B102" s="10" t="s">
        <v>7</v>
      </c>
      <c r="C102" s="10" t="s">
        <v>40</v>
      </c>
      <c r="D102" s="10" t="s">
        <v>11</v>
      </c>
      <c r="E102" s="22">
        <v>0</v>
      </c>
      <c r="F102" s="10" t="s">
        <v>162</v>
      </c>
      <c r="G102" s="10" t="s">
        <v>163</v>
      </c>
      <c r="H102" s="10" t="s">
        <v>299</v>
      </c>
      <c r="I102" s="19">
        <f t="shared" si="11"/>
        <v>2</v>
      </c>
      <c r="J102" s="20">
        <f t="shared" si="12"/>
        <v>0.15</v>
      </c>
      <c r="K102" s="19">
        <f t="shared" si="13"/>
        <v>2</v>
      </c>
      <c r="L102" s="21">
        <f t="shared" si="14"/>
        <v>0.3</v>
      </c>
    </row>
    <row r="103" spans="1:12" ht="58" customHeight="1">
      <c r="A103" s="10" t="s">
        <v>70</v>
      </c>
      <c r="B103" s="10" t="s">
        <v>7</v>
      </c>
      <c r="C103" s="10" t="s">
        <v>40</v>
      </c>
      <c r="D103" s="10" t="s">
        <v>12</v>
      </c>
      <c r="E103" s="22">
        <v>0</v>
      </c>
      <c r="F103" s="10" t="s">
        <v>162</v>
      </c>
      <c r="G103" s="10" t="s">
        <v>163</v>
      </c>
      <c r="H103" s="10" t="s">
        <v>300</v>
      </c>
      <c r="I103" s="19">
        <f t="shared" si="11"/>
        <v>5</v>
      </c>
      <c r="J103" s="20">
        <f t="shared" si="12"/>
        <v>0.15</v>
      </c>
      <c r="K103" s="19">
        <f t="shared" si="13"/>
        <v>5</v>
      </c>
      <c r="L103" s="21">
        <f t="shared" si="14"/>
        <v>0.75</v>
      </c>
    </row>
    <row r="104" spans="1:12" ht="58" customHeight="1">
      <c r="A104" s="10" t="s">
        <v>70</v>
      </c>
      <c r="B104" s="10" t="s">
        <v>7</v>
      </c>
      <c r="C104" s="10" t="s">
        <v>41</v>
      </c>
      <c r="D104" s="10" t="s">
        <v>9</v>
      </c>
      <c r="E104" s="22">
        <v>0</v>
      </c>
      <c r="F104" s="10" t="s">
        <v>162</v>
      </c>
      <c r="G104" s="10" t="s">
        <v>163</v>
      </c>
      <c r="H104" s="10" t="s">
        <v>301</v>
      </c>
      <c r="I104" s="19">
        <f t="shared" si="11"/>
        <v>3</v>
      </c>
      <c r="J104" s="20">
        <f t="shared" si="12"/>
        <v>0.15</v>
      </c>
      <c r="K104" s="19">
        <f t="shared" si="13"/>
        <v>3</v>
      </c>
      <c r="L104" s="21">
        <f t="shared" si="14"/>
        <v>0.44999999999999996</v>
      </c>
    </row>
    <row r="105" spans="1:12" ht="58" customHeight="1">
      <c r="A105" s="10" t="s">
        <v>70</v>
      </c>
      <c r="B105" s="10" t="s">
        <v>7</v>
      </c>
      <c r="C105" s="10" t="s">
        <v>41</v>
      </c>
      <c r="D105" s="10" t="s">
        <v>10</v>
      </c>
      <c r="E105" s="22">
        <v>0</v>
      </c>
      <c r="F105" s="10" t="s">
        <v>162</v>
      </c>
      <c r="G105" s="10" t="s">
        <v>163</v>
      </c>
      <c r="H105" s="10" t="s">
        <v>302</v>
      </c>
      <c r="I105" s="19">
        <f t="shared" si="11"/>
        <v>4</v>
      </c>
      <c r="J105" s="20">
        <f t="shared" si="12"/>
        <v>0.15</v>
      </c>
      <c r="K105" s="19">
        <f t="shared" si="13"/>
        <v>4</v>
      </c>
      <c r="L105" s="21">
        <f t="shared" si="14"/>
        <v>0.6</v>
      </c>
    </row>
    <row r="106" spans="1:12" ht="58" customHeight="1">
      <c r="A106" s="10" t="s">
        <v>70</v>
      </c>
      <c r="B106" s="10" t="s">
        <v>7</v>
      </c>
      <c r="C106" s="10" t="s">
        <v>41</v>
      </c>
      <c r="D106" s="10" t="s">
        <v>11</v>
      </c>
      <c r="E106" s="22">
        <v>0</v>
      </c>
      <c r="F106" s="10" t="s">
        <v>162</v>
      </c>
      <c r="G106" s="10" t="s">
        <v>163</v>
      </c>
      <c r="H106" s="10" t="s">
        <v>303</v>
      </c>
      <c r="I106" s="19">
        <f t="shared" si="11"/>
        <v>5</v>
      </c>
      <c r="J106" s="20">
        <f t="shared" si="12"/>
        <v>0.15</v>
      </c>
      <c r="K106" s="19">
        <f t="shared" si="13"/>
        <v>5</v>
      </c>
      <c r="L106" s="21">
        <f t="shared" si="14"/>
        <v>0.75</v>
      </c>
    </row>
    <row r="107" spans="1:12" ht="58" customHeight="1">
      <c r="A107" s="10" t="s">
        <v>70</v>
      </c>
      <c r="B107" s="10" t="s">
        <v>7</v>
      </c>
      <c r="C107" s="10" t="s">
        <v>41</v>
      </c>
      <c r="D107" s="10" t="s">
        <v>12</v>
      </c>
      <c r="E107" s="22">
        <v>0</v>
      </c>
      <c r="F107" s="10" t="s">
        <v>162</v>
      </c>
      <c r="G107" s="10" t="s">
        <v>163</v>
      </c>
      <c r="H107" s="10" t="s">
        <v>304</v>
      </c>
      <c r="I107" s="19">
        <f t="shared" si="11"/>
        <v>1</v>
      </c>
      <c r="J107" s="20">
        <f t="shared" si="12"/>
        <v>0.15</v>
      </c>
      <c r="K107" s="19">
        <f t="shared" si="13"/>
        <v>1</v>
      </c>
      <c r="L107" s="21">
        <f t="shared" si="14"/>
        <v>0.15</v>
      </c>
    </row>
    <row r="108" spans="1:12" ht="58" customHeight="1">
      <c r="A108" s="10" t="s">
        <v>81</v>
      </c>
      <c r="B108" s="10" t="s">
        <v>6</v>
      </c>
      <c r="C108" s="10" t="s">
        <v>32</v>
      </c>
      <c r="D108" s="10" t="s">
        <v>9</v>
      </c>
      <c r="E108" s="22">
        <v>0</v>
      </c>
      <c r="F108" s="10" t="s">
        <v>162</v>
      </c>
      <c r="G108" s="10" t="s">
        <v>163</v>
      </c>
      <c r="H108" s="10" t="s">
        <v>305</v>
      </c>
      <c r="I108" s="19">
        <f t="shared" si="11"/>
        <v>2</v>
      </c>
      <c r="J108" s="20">
        <f t="shared" si="12"/>
        <v>0.3</v>
      </c>
      <c r="K108" s="19">
        <f t="shared" si="13"/>
        <v>2</v>
      </c>
      <c r="L108" s="21">
        <f t="shared" si="14"/>
        <v>0.6</v>
      </c>
    </row>
    <row r="109" spans="1:12" ht="58" customHeight="1">
      <c r="A109" s="10" t="s">
        <v>81</v>
      </c>
      <c r="B109" s="10" t="s">
        <v>6</v>
      </c>
      <c r="C109" s="10" t="s">
        <v>32</v>
      </c>
      <c r="D109" s="10" t="s">
        <v>10</v>
      </c>
      <c r="E109" s="22">
        <v>0.5</v>
      </c>
      <c r="F109" s="10" t="s">
        <v>306</v>
      </c>
      <c r="G109" s="10" t="s">
        <v>174</v>
      </c>
      <c r="H109" s="10" t="s">
        <v>307</v>
      </c>
      <c r="I109" s="19">
        <f t="shared" si="11"/>
        <v>4</v>
      </c>
      <c r="J109" s="20">
        <f t="shared" si="12"/>
        <v>0.3</v>
      </c>
      <c r="K109" s="19">
        <f t="shared" si="13"/>
        <v>4.5</v>
      </c>
      <c r="L109" s="21">
        <f t="shared" si="14"/>
        <v>1.3499999999999999</v>
      </c>
    </row>
    <row r="110" spans="1:12" ht="58" customHeight="1">
      <c r="A110" s="10" t="s">
        <v>81</v>
      </c>
      <c r="B110" s="10" t="s">
        <v>6</v>
      </c>
      <c r="C110" s="10" t="s">
        <v>32</v>
      </c>
      <c r="D110" s="10" t="s">
        <v>11</v>
      </c>
      <c r="E110" s="22">
        <v>0.5</v>
      </c>
      <c r="F110" s="10" t="s">
        <v>308</v>
      </c>
      <c r="G110" s="10" t="s">
        <v>174</v>
      </c>
      <c r="H110" s="10" t="s">
        <v>309</v>
      </c>
      <c r="I110" s="19">
        <f t="shared" si="11"/>
        <v>4</v>
      </c>
      <c r="J110" s="20">
        <f t="shared" si="12"/>
        <v>0.3</v>
      </c>
      <c r="K110" s="19">
        <f t="shared" si="13"/>
        <v>4.5</v>
      </c>
      <c r="L110" s="21">
        <f t="shared" si="14"/>
        <v>1.3499999999999999</v>
      </c>
    </row>
    <row r="111" spans="1:12" ht="58" customHeight="1">
      <c r="A111" s="10" t="s">
        <v>81</v>
      </c>
      <c r="B111" s="10" t="s">
        <v>6</v>
      </c>
      <c r="C111" s="10" t="s">
        <v>32</v>
      </c>
      <c r="D111" s="10" t="s">
        <v>12</v>
      </c>
      <c r="E111" s="22">
        <v>0</v>
      </c>
      <c r="F111" s="10" t="s">
        <v>162</v>
      </c>
      <c r="G111" s="10" t="s">
        <v>163</v>
      </c>
      <c r="H111" s="10" t="s">
        <v>310</v>
      </c>
      <c r="I111" s="19">
        <f t="shared" si="11"/>
        <v>5</v>
      </c>
      <c r="J111" s="20">
        <f t="shared" si="12"/>
        <v>0.3</v>
      </c>
      <c r="K111" s="19">
        <f t="shared" si="13"/>
        <v>5</v>
      </c>
      <c r="L111" s="21">
        <f t="shared" si="14"/>
        <v>1.5</v>
      </c>
    </row>
    <row r="112" spans="1:12" ht="58" customHeight="1">
      <c r="A112" s="10" t="s">
        <v>81</v>
      </c>
      <c r="B112" s="10" t="s">
        <v>6</v>
      </c>
      <c r="C112" s="10" t="s">
        <v>33</v>
      </c>
      <c r="D112" s="10" t="s">
        <v>9</v>
      </c>
      <c r="E112" s="22">
        <v>-0.5</v>
      </c>
      <c r="F112" s="10" t="s">
        <v>311</v>
      </c>
      <c r="G112" s="10" t="s">
        <v>312</v>
      </c>
      <c r="H112" s="10" t="s">
        <v>313</v>
      </c>
      <c r="I112" s="19">
        <f t="shared" si="11"/>
        <v>4</v>
      </c>
      <c r="J112" s="20">
        <f t="shared" si="12"/>
        <v>0.2</v>
      </c>
      <c r="K112" s="19">
        <f t="shared" si="13"/>
        <v>3.5</v>
      </c>
      <c r="L112" s="21">
        <f t="shared" si="14"/>
        <v>0.70000000000000007</v>
      </c>
    </row>
    <row r="113" spans="1:12" ht="58" customHeight="1">
      <c r="A113" s="10" t="s">
        <v>81</v>
      </c>
      <c r="B113" s="10" t="s">
        <v>6</v>
      </c>
      <c r="C113" s="10" t="s">
        <v>33</v>
      </c>
      <c r="D113" s="10" t="s">
        <v>10</v>
      </c>
      <c r="E113" s="22">
        <v>0</v>
      </c>
      <c r="F113" s="10" t="s">
        <v>162</v>
      </c>
      <c r="G113" s="10" t="s">
        <v>163</v>
      </c>
      <c r="H113" s="10" t="s">
        <v>314</v>
      </c>
      <c r="I113" s="19">
        <f t="shared" si="11"/>
        <v>2</v>
      </c>
      <c r="J113" s="20">
        <f t="shared" si="12"/>
        <v>0.2</v>
      </c>
      <c r="K113" s="19">
        <f t="shared" si="13"/>
        <v>2</v>
      </c>
      <c r="L113" s="21">
        <f t="shared" si="14"/>
        <v>0.4</v>
      </c>
    </row>
    <row r="114" spans="1:12" ht="58" customHeight="1">
      <c r="A114" s="10" t="s">
        <v>81</v>
      </c>
      <c r="B114" s="10" t="s">
        <v>6</v>
      </c>
      <c r="C114" s="10" t="s">
        <v>33</v>
      </c>
      <c r="D114" s="10" t="s">
        <v>11</v>
      </c>
      <c r="E114" s="22">
        <v>-0.5</v>
      </c>
      <c r="F114" s="10" t="s">
        <v>315</v>
      </c>
      <c r="G114" s="10" t="s">
        <v>100</v>
      </c>
      <c r="H114" s="10" t="s">
        <v>316</v>
      </c>
      <c r="I114" s="19">
        <f t="shared" si="11"/>
        <v>3</v>
      </c>
      <c r="J114" s="20">
        <f t="shared" si="12"/>
        <v>0.2</v>
      </c>
      <c r="K114" s="19">
        <f t="shared" si="13"/>
        <v>2.5</v>
      </c>
      <c r="L114" s="21">
        <f t="shared" si="14"/>
        <v>0.5</v>
      </c>
    </row>
    <row r="115" spans="1:12" ht="58" customHeight="1">
      <c r="A115" s="10" t="s">
        <v>81</v>
      </c>
      <c r="B115" s="10" t="s">
        <v>6</v>
      </c>
      <c r="C115" s="10" t="s">
        <v>33</v>
      </c>
      <c r="D115" s="10" t="s">
        <v>12</v>
      </c>
      <c r="E115" s="22">
        <v>0</v>
      </c>
      <c r="F115" s="10" t="s">
        <v>162</v>
      </c>
      <c r="G115" s="10" t="s">
        <v>163</v>
      </c>
      <c r="H115" s="10" t="s">
        <v>317</v>
      </c>
      <c r="I115" s="19">
        <f t="shared" si="11"/>
        <v>1</v>
      </c>
      <c r="J115" s="20">
        <f t="shared" si="12"/>
        <v>0.2</v>
      </c>
      <c r="K115" s="19">
        <f t="shared" si="13"/>
        <v>1</v>
      </c>
      <c r="L115" s="21">
        <f t="shared" si="14"/>
        <v>0.2</v>
      </c>
    </row>
    <row r="116" spans="1:12" ht="58" customHeight="1">
      <c r="A116" s="10" t="s">
        <v>81</v>
      </c>
      <c r="B116" s="10" t="s">
        <v>6</v>
      </c>
      <c r="C116" s="10" t="s">
        <v>34</v>
      </c>
      <c r="D116" s="10" t="s">
        <v>9</v>
      </c>
      <c r="E116" s="22">
        <v>0</v>
      </c>
      <c r="F116" s="10" t="s">
        <v>162</v>
      </c>
      <c r="G116" s="10" t="s">
        <v>163</v>
      </c>
      <c r="H116" s="10" t="s">
        <v>318</v>
      </c>
      <c r="I116" s="19">
        <f t="shared" si="11"/>
        <v>1</v>
      </c>
      <c r="J116" s="20">
        <f t="shared" si="12"/>
        <v>0.2</v>
      </c>
      <c r="K116" s="19">
        <f t="shared" si="13"/>
        <v>1</v>
      </c>
      <c r="L116" s="21">
        <f t="shared" si="14"/>
        <v>0.2</v>
      </c>
    </row>
    <row r="117" spans="1:12" ht="58" customHeight="1">
      <c r="A117" s="10" t="s">
        <v>81</v>
      </c>
      <c r="B117" s="10" t="s">
        <v>6</v>
      </c>
      <c r="C117" s="10" t="s">
        <v>34</v>
      </c>
      <c r="D117" s="10" t="s">
        <v>10</v>
      </c>
      <c r="E117" s="22">
        <v>0.5</v>
      </c>
      <c r="F117" s="10" t="s">
        <v>319</v>
      </c>
      <c r="G117" s="10" t="s">
        <v>174</v>
      </c>
      <c r="H117" s="10" t="s">
        <v>320</v>
      </c>
      <c r="I117" s="19">
        <f t="shared" si="11"/>
        <v>5</v>
      </c>
      <c r="J117" s="20">
        <f t="shared" si="12"/>
        <v>0.2</v>
      </c>
      <c r="K117" s="19">
        <f t="shared" si="13"/>
        <v>5</v>
      </c>
      <c r="L117" s="21">
        <f t="shared" si="14"/>
        <v>1</v>
      </c>
    </row>
    <row r="118" spans="1:12" ht="58" customHeight="1">
      <c r="A118" s="10" t="s">
        <v>81</v>
      </c>
      <c r="B118" s="10" t="s">
        <v>6</v>
      </c>
      <c r="C118" s="10" t="s">
        <v>34</v>
      </c>
      <c r="D118" s="10" t="s">
        <v>11</v>
      </c>
      <c r="E118" s="22">
        <v>0</v>
      </c>
      <c r="F118" s="10" t="s">
        <v>162</v>
      </c>
      <c r="G118" s="10" t="s">
        <v>163</v>
      </c>
      <c r="H118" s="10" t="s">
        <v>321</v>
      </c>
      <c r="I118" s="19">
        <f t="shared" si="11"/>
        <v>3</v>
      </c>
      <c r="J118" s="20">
        <f t="shared" si="12"/>
        <v>0.2</v>
      </c>
      <c r="K118" s="19">
        <f t="shared" si="13"/>
        <v>3</v>
      </c>
      <c r="L118" s="21">
        <f t="shared" si="14"/>
        <v>0.60000000000000009</v>
      </c>
    </row>
    <row r="119" spans="1:12" ht="58" customHeight="1">
      <c r="A119" s="10" t="s">
        <v>81</v>
      </c>
      <c r="B119" s="10" t="s">
        <v>6</v>
      </c>
      <c r="C119" s="10" t="s">
        <v>34</v>
      </c>
      <c r="D119" s="10" t="s">
        <v>12</v>
      </c>
      <c r="E119" s="22">
        <v>-0.5</v>
      </c>
      <c r="F119" s="10" t="s">
        <v>322</v>
      </c>
      <c r="G119" s="10" t="s">
        <v>312</v>
      </c>
      <c r="H119" s="10" t="s">
        <v>323</v>
      </c>
      <c r="I119" s="19">
        <f t="shared" si="11"/>
        <v>2</v>
      </c>
      <c r="J119" s="20">
        <f t="shared" si="12"/>
        <v>0.2</v>
      </c>
      <c r="K119" s="19">
        <f t="shared" si="13"/>
        <v>1.5</v>
      </c>
      <c r="L119" s="21">
        <f t="shared" si="14"/>
        <v>0.30000000000000004</v>
      </c>
    </row>
    <row r="120" spans="1:12" ht="58" customHeight="1">
      <c r="A120" s="10" t="s">
        <v>81</v>
      </c>
      <c r="B120" s="10" t="s">
        <v>6</v>
      </c>
      <c r="C120" s="10" t="s">
        <v>35</v>
      </c>
      <c r="D120" s="10" t="s">
        <v>9</v>
      </c>
      <c r="E120" s="22">
        <v>0</v>
      </c>
      <c r="F120" s="10" t="s">
        <v>162</v>
      </c>
      <c r="G120" s="10" t="s">
        <v>163</v>
      </c>
      <c r="H120" s="10" t="s">
        <v>324</v>
      </c>
      <c r="I120" s="19">
        <f t="shared" si="11"/>
        <v>5</v>
      </c>
      <c r="J120" s="20">
        <f t="shared" si="12"/>
        <v>0.15</v>
      </c>
      <c r="K120" s="19">
        <f t="shared" si="13"/>
        <v>5</v>
      </c>
      <c r="L120" s="21">
        <f t="shared" si="14"/>
        <v>0.75</v>
      </c>
    </row>
    <row r="121" spans="1:12" ht="58" customHeight="1">
      <c r="A121" s="10" t="s">
        <v>81</v>
      </c>
      <c r="B121" s="10" t="s">
        <v>6</v>
      </c>
      <c r="C121" s="10" t="s">
        <v>35</v>
      </c>
      <c r="D121" s="10" t="s">
        <v>10</v>
      </c>
      <c r="E121" s="22">
        <v>0</v>
      </c>
      <c r="F121" s="10" t="s">
        <v>162</v>
      </c>
      <c r="G121" s="10" t="s">
        <v>163</v>
      </c>
      <c r="H121" s="10" t="s">
        <v>325</v>
      </c>
      <c r="I121" s="19">
        <f t="shared" si="11"/>
        <v>4</v>
      </c>
      <c r="J121" s="20">
        <f t="shared" si="12"/>
        <v>0.15</v>
      </c>
      <c r="K121" s="19">
        <f t="shared" si="13"/>
        <v>4</v>
      </c>
      <c r="L121" s="21">
        <f t="shared" si="14"/>
        <v>0.6</v>
      </c>
    </row>
    <row r="122" spans="1:12" ht="58" customHeight="1">
      <c r="A122" s="10" t="s">
        <v>81</v>
      </c>
      <c r="B122" s="10" t="s">
        <v>6</v>
      </c>
      <c r="C122" s="10" t="s">
        <v>35</v>
      </c>
      <c r="D122" s="10" t="s">
        <v>11</v>
      </c>
      <c r="E122" s="22">
        <v>-0.5</v>
      </c>
      <c r="F122" s="10" t="s">
        <v>212</v>
      </c>
      <c r="G122" s="10" t="s">
        <v>100</v>
      </c>
      <c r="H122" s="10" t="s">
        <v>326</v>
      </c>
      <c r="I122" s="19">
        <f t="shared" si="11"/>
        <v>2</v>
      </c>
      <c r="J122" s="20">
        <f t="shared" si="12"/>
        <v>0.15</v>
      </c>
      <c r="K122" s="19">
        <f t="shared" si="13"/>
        <v>1.5</v>
      </c>
      <c r="L122" s="21">
        <f t="shared" si="14"/>
        <v>0.22499999999999998</v>
      </c>
    </row>
    <row r="123" spans="1:12" ht="58" customHeight="1">
      <c r="A123" s="10" t="s">
        <v>81</v>
      </c>
      <c r="B123" s="10" t="s">
        <v>6</v>
      </c>
      <c r="C123" s="10" t="s">
        <v>35</v>
      </c>
      <c r="D123" s="10" t="s">
        <v>12</v>
      </c>
      <c r="E123" s="22">
        <v>0</v>
      </c>
      <c r="F123" s="10" t="s">
        <v>162</v>
      </c>
      <c r="G123" s="10" t="s">
        <v>163</v>
      </c>
      <c r="H123" s="10" t="s">
        <v>327</v>
      </c>
      <c r="I123" s="19">
        <f t="shared" si="11"/>
        <v>2</v>
      </c>
      <c r="J123" s="20">
        <f t="shared" si="12"/>
        <v>0.15</v>
      </c>
      <c r="K123" s="19">
        <f t="shared" si="13"/>
        <v>2</v>
      </c>
      <c r="L123" s="21">
        <f t="shared" si="14"/>
        <v>0.3</v>
      </c>
    </row>
    <row r="124" spans="1:12" ht="58" customHeight="1">
      <c r="A124" s="10" t="s">
        <v>81</v>
      </c>
      <c r="B124" s="10" t="s">
        <v>6</v>
      </c>
      <c r="C124" s="10" t="s">
        <v>36</v>
      </c>
      <c r="D124" s="10" t="s">
        <v>9</v>
      </c>
      <c r="E124" s="22">
        <v>0</v>
      </c>
      <c r="F124" s="10" t="s">
        <v>162</v>
      </c>
      <c r="G124" s="10" t="s">
        <v>163</v>
      </c>
      <c r="H124" s="10" t="s">
        <v>328</v>
      </c>
      <c r="I124" s="19">
        <f t="shared" ref="I124:I147" si="15">INDEX($F$6:$I$15,MATCH($C124,$B$6:$B$15,0),MATCH($D124,$F$5:$I$5,0))</f>
        <v>4</v>
      </c>
      <c r="J124" s="20">
        <f t="shared" ref="J124:J147" si="16">INDEX($C$6:$C$15,MATCH($C124,$B$6:$B$15,0))</f>
        <v>0.15</v>
      </c>
      <c r="K124" s="19">
        <f t="shared" ref="K124:K147" si="17">MAX(1,MIN(5,I124+E124))</f>
        <v>4</v>
      </c>
      <c r="L124" s="21">
        <f t="shared" ref="L124:L147" si="18">J124*K124</f>
        <v>0.6</v>
      </c>
    </row>
    <row r="125" spans="1:12" ht="58" customHeight="1">
      <c r="A125" s="10" t="s">
        <v>81</v>
      </c>
      <c r="B125" s="10" t="s">
        <v>6</v>
      </c>
      <c r="C125" s="10" t="s">
        <v>36</v>
      </c>
      <c r="D125" s="10" t="s">
        <v>10</v>
      </c>
      <c r="E125" s="22">
        <v>0</v>
      </c>
      <c r="F125" s="10" t="s">
        <v>162</v>
      </c>
      <c r="G125" s="10" t="s">
        <v>163</v>
      </c>
      <c r="H125" s="10" t="s">
        <v>329</v>
      </c>
      <c r="I125" s="19">
        <f t="shared" si="15"/>
        <v>3</v>
      </c>
      <c r="J125" s="20">
        <f t="shared" si="16"/>
        <v>0.15</v>
      </c>
      <c r="K125" s="19">
        <f t="shared" si="17"/>
        <v>3</v>
      </c>
      <c r="L125" s="21">
        <f t="shared" si="18"/>
        <v>0.44999999999999996</v>
      </c>
    </row>
    <row r="126" spans="1:12" ht="58" customHeight="1">
      <c r="A126" s="10" t="s">
        <v>81</v>
      </c>
      <c r="B126" s="10" t="s">
        <v>6</v>
      </c>
      <c r="C126" s="10" t="s">
        <v>36</v>
      </c>
      <c r="D126" s="10" t="s">
        <v>11</v>
      </c>
      <c r="E126" s="22">
        <v>0</v>
      </c>
      <c r="F126" s="10" t="s">
        <v>162</v>
      </c>
      <c r="G126" s="10" t="s">
        <v>163</v>
      </c>
      <c r="H126" s="10" t="s">
        <v>330</v>
      </c>
      <c r="I126" s="19">
        <f t="shared" si="15"/>
        <v>2</v>
      </c>
      <c r="J126" s="20">
        <f t="shared" si="16"/>
        <v>0.15</v>
      </c>
      <c r="K126" s="19">
        <f t="shared" si="17"/>
        <v>2</v>
      </c>
      <c r="L126" s="21">
        <f t="shared" si="18"/>
        <v>0.3</v>
      </c>
    </row>
    <row r="127" spans="1:12" ht="58" customHeight="1">
      <c r="A127" s="10" t="s">
        <v>81</v>
      </c>
      <c r="B127" s="10" t="s">
        <v>6</v>
      </c>
      <c r="C127" s="10" t="s">
        <v>36</v>
      </c>
      <c r="D127" s="10" t="s">
        <v>12</v>
      </c>
      <c r="E127" s="22">
        <v>0</v>
      </c>
      <c r="F127" s="10" t="s">
        <v>162</v>
      </c>
      <c r="G127" s="10" t="s">
        <v>163</v>
      </c>
      <c r="H127" s="10" t="s">
        <v>331</v>
      </c>
      <c r="I127" s="19">
        <f t="shared" si="15"/>
        <v>5</v>
      </c>
      <c r="J127" s="20">
        <f t="shared" si="16"/>
        <v>0.15</v>
      </c>
      <c r="K127" s="19">
        <f t="shared" si="17"/>
        <v>5</v>
      </c>
      <c r="L127" s="21">
        <f t="shared" si="18"/>
        <v>0.75</v>
      </c>
    </row>
    <row r="128" spans="1:12" ht="58" customHeight="1">
      <c r="A128" s="10" t="s">
        <v>81</v>
      </c>
      <c r="B128" s="10" t="s">
        <v>7</v>
      </c>
      <c r="C128" s="10" t="s">
        <v>37</v>
      </c>
      <c r="D128" s="10" t="s">
        <v>9</v>
      </c>
      <c r="E128" s="22">
        <v>0</v>
      </c>
      <c r="F128" s="10" t="s">
        <v>162</v>
      </c>
      <c r="G128" s="10" t="s">
        <v>163</v>
      </c>
      <c r="H128" s="10" t="s">
        <v>332</v>
      </c>
      <c r="I128" s="19">
        <f t="shared" si="15"/>
        <v>2</v>
      </c>
      <c r="J128" s="20">
        <f t="shared" si="16"/>
        <v>0.3</v>
      </c>
      <c r="K128" s="19">
        <f t="shared" si="17"/>
        <v>2</v>
      </c>
      <c r="L128" s="21">
        <f t="shared" si="18"/>
        <v>0.6</v>
      </c>
    </row>
    <row r="129" spans="1:12" ht="58" customHeight="1">
      <c r="A129" s="10" t="s">
        <v>81</v>
      </c>
      <c r="B129" s="10" t="s">
        <v>7</v>
      </c>
      <c r="C129" s="10" t="s">
        <v>37</v>
      </c>
      <c r="D129" s="10" t="s">
        <v>10</v>
      </c>
      <c r="E129" s="22">
        <v>0.5</v>
      </c>
      <c r="F129" s="10" t="s">
        <v>333</v>
      </c>
      <c r="G129" s="10" t="s">
        <v>100</v>
      </c>
      <c r="H129" s="10" t="s">
        <v>334</v>
      </c>
      <c r="I129" s="19">
        <f t="shared" si="15"/>
        <v>5</v>
      </c>
      <c r="J129" s="20">
        <f t="shared" si="16"/>
        <v>0.3</v>
      </c>
      <c r="K129" s="19">
        <f t="shared" si="17"/>
        <v>5</v>
      </c>
      <c r="L129" s="21">
        <f t="shared" si="18"/>
        <v>1.5</v>
      </c>
    </row>
    <row r="130" spans="1:12" ht="58" customHeight="1">
      <c r="A130" s="10" t="s">
        <v>81</v>
      </c>
      <c r="B130" s="10" t="s">
        <v>7</v>
      </c>
      <c r="C130" s="10" t="s">
        <v>37</v>
      </c>
      <c r="D130" s="10" t="s">
        <v>11</v>
      </c>
      <c r="E130" s="22">
        <v>0.5</v>
      </c>
      <c r="F130" s="10" t="s">
        <v>283</v>
      </c>
      <c r="G130" s="10" t="s">
        <v>284</v>
      </c>
      <c r="H130" s="10" t="s">
        <v>335</v>
      </c>
      <c r="I130" s="19">
        <f t="shared" si="15"/>
        <v>4</v>
      </c>
      <c r="J130" s="20">
        <f t="shared" si="16"/>
        <v>0.3</v>
      </c>
      <c r="K130" s="19">
        <f t="shared" si="17"/>
        <v>4.5</v>
      </c>
      <c r="L130" s="21">
        <f t="shared" si="18"/>
        <v>1.3499999999999999</v>
      </c>
    </row>
    <row r="131" spans="1:12" ht="58" customHeight="1">
      <c r="A131" s="10" t="s">
        <v>81</v>
      </c>
      <c r="B131" s="10" t="s">
        <v>7</v>
      </c>
      <c r="C131" s="10" t="s">
        <v>37</v>
      </c>
      <c r="D131" s="10" t="s">
        <v>12</v>
      </c>
      <c r="E131" s="22">
        <v>0</v>
      </c>
      <c r="F131" s="10" t="s">
        <v>162</v>
      </c>
      <c r="G131" s="10" t="s">
        <v>163</v>
      </c>
      <c r="H131" s="10" t="s">
        <v>336</v>
      </c>
      <c r="I131" s="19">
        <f t="shared" si="15"/>
        <v>2</v>
      </c>
      <c r="J131" s="20">
        <f t="shared" si="16"/>
        <v>0.3</v>
      </c>
      <c r="K131" s="19">
        <f t="shared" si="17"/>
        <v>2</v>
      </c>
      <c r="L131" s="21">
        <f t="shared" si="18"/>
        <v>0.6</v>
      </c>
    </row>
    <row r="132" spans="1:12" ht="58" customHeight="1">
      <c r="A132" s="10" t="s">
        <v>81</v>
      </c>
      <c r="B132" s="10" t="s">
        <v>7</v>
      </c>
      <c r="C132" s="10" t="s">
        <v>38</v>
      </c>
      <c r="D132" s="10" t="s">
        <v>9</v>
      </c>
      <c r="E132" s="22">
        <v>0</v>
      </c>
      <c r="F132" s="10" t="s">
        <v>162</v>
      </c>
      <c r="G132" s="10" t="s">
        <v>163</v>
      </c>
      <c r="H132" s="10" t="s">
        <v>337</v>
      </c>
      <c r="I132" s="19">
        <f t="shared" si="15"/>
        <v>1</v>
      </c>
      <c r="J132" s="20">
        <f t="shared" si="16"/>
        <v>0.2</v>
      </c>
      <c r="K132" s="19">
        <f t="shared" si="17"/>
        <v>1</v>
      </c>
      <c r="L132" s="21">
        <f t="shared" si="18"/>
        <v>0.2</v>
      </c>
    </row>
    <row r="133" spans="1:12" ht="58" customHeight="1">
      <c r="A133" s="10" t="s">
        <v>81</v>
      </c>
      <c r="B133" s="10" t="s">
        <v>7</v>
      </c>
      <c r="C133" s="10" t="s">
        <v>38</v>
      </c>
      <c r="D133" s="10" t="s">
        <v>10</v>
      </c>
      <c r="E133" s="22">
        <v>0.5</v>
      </c>
      <c r="F133" s="10" t="s">
        <v>220</v>
      </c>
      <c r="G133" s="10" t="s">
        <v>100</v>
      </c>
      <c r="H133" s="10" t="s">
        <v>338</v>
      </c>
      <c r="I133" s="19">
        <f t="shared" si="15"/>
        <v>4</v>
      </c>
      <c r="J133" s="20">
        <f t="shared" si="16"/>
        <v>0.2</v>
      </c>
      <c r="K133" s="19">
        <f t="shared" si="17"/>
        <v>4.5</v>
      </c>
      <c r="L133" s="21">
        <f t="shared" si="18"/>
        <v>0.9</v>
      </c>
    </row>
    <row r="134" spans="1:12" ht="58" customHeight="1">
      <c r="A134" s="10" t="s">
        <v>81</v>
      </c>
      <c r="B134" s="10" t="s">
        <v>7</v>
      </c>
      <c r="C134" s="10" t="s">
        <v>38</v>
      </c>
      <c r="D134" s="10" t="s">
        <v>11</v>
      </c>
      <c r="E134" s="22">
        <v>0</v>
      </c>
      <c r="F134" s="10" t="s">
        <v>162</v>
      </c>
      <c r="G134" s="10" t="s">
        <v>163</v>
      </c>
      <c r="H134" s="10" t="s">
        <v>339</v>
      </c>
      <c r="I134" s="19">
        <f t="shared" si="15"/>
        <v>3</v>
      </c>
      <c r="J134" s="20">
        <f t="shared" si="16"/>
        <v>0.2</v>
      </c>
      <c r="K134" s="19">
        <f t="shared" si="17"/>
        <v>3</v>
      </c>
      <c r="L134" s="21">
        <f t="shared" si="18"/>
        <v>0.60000000000000009</v>
      </c>
    </row>
    <row r="135" spans="1:12" ht="58" customHeight="1">
      <c r="A135" s="10" t="s">
        <v>81</v>
      </c>
      <c r="B135" s="10" t="s">
        <v>7</v>
      </c>
      <c r="C135" s="10" t="s">
        <v>38</v>
      </c>
      <c r="D135" s="10" t="s">
        <v>12</v>
      </c>
      <c r="E135" s="22">
        <v>0</v>
      </c>
      <c r="F135" s="10" t="s">
        <v>162</v>
      </c>
      <c r="G135" s="10" t="s">
        <v>163</v>
      </c>
      <c r="H135" s="10" t="s">
        <v>340</v>
      </c>
      <c r="I135" s="19">
        <f t="shared" si="15"/>
        <v>1</v>
      </c>
      <c r="J135" s="20">
        <f t="shared" si="16"/>
        <v>0.2</v>
      </c>
      <c r="K135" s="19">
        <f t="shared" si="17"/>
        <v>1</v>
      </c>
      <c r="L135" s="21">
        <f t="shared" si="18"/>
        <v>0.2</v>
      </c>
    </row>
    <row r="136" spans="1:12" ht="58" customHeight="1">
      <c r="A136" s="10" t="s">
        <v>81</v>
      </c>
      <c r="B136" s="10" t="s">
        <v>7</v>
      </c>
      <c r="C136" s="10" t="s">
        <v>39</v>
      </c>
      <c r="D136" s="10" t="s">
        <v>9</v>
      </c>
      <c r="E136" s="22">
        <v>0</v>
      </c>
      <c r="F136" s="10" t="s">
        <v>162</v>
      </c>
      <c r="G136" s="10" t="s">
        <v>163</v>
      </c>
      <c r="H136" s="10" t="s">
        <v>341</v>
      </c>
      <c r="I136" s="19">
        <f t="shared" si="15"/>
        <v>4</v>
      </c>
      <c r="J136" s="20">
        <f t="shared" si="16"/>
        <v>0.2</v>
      </c>
      <c r="K136" s="19">
        <f t="shared" si="17"/>
        <v>4</v>
      </c>
      <c r="L136" s="21">
        <f t="shared" si="18"/>
        <v>0.8</v>
      </c>
    </row>
    <row r="137" spans="1:12" ht="58" customHeight="1">
      <c r="A137" s="10" t="s">
        <v>81</v>
      </c>
      <c r="B137" s="10" t="s">
        <v>7</v>
      </c>
      <c r="C137" s="10" t="s">
        <v>39</v>
      </c>
      <c r="D137" s="10" t="s">
        <v>10</v>
      </c>
      <c r="E137" s="22">
        <v>0</v>
      </c>
      <c r="F137" s="10" t="s">
        <v>162</v>
      </c>
      <c r="G137" s="10" t="s">
        <v>163</v>
      </c>
      <c r="H137" s="10" t="s">
        <v>342</v>
      </c>
      <c r="I137" s="19">
        <f t="shared" si="15"/>
        <v>3</v>
      </c>
      <c r="J137" s="20">
        <f t="shared" si="16"/>
        <v>0.2</v>
      </c>
      <c r="K137" s="19">
        <f t="shared" si="17"/>
        <v>3</v>
      </c>
      <c r="L137" s="21">
        <f t="shared" si="18"/>
        <v>0.60000000000000009</v>
      </c>
    </row>
    <row r="138" spans="1:12" ht="58" customHeight="1">
      <c r="A138" s="10" t="s">
        <v>81</v>
      </c>
      <c r="B138" s="10" t="s">
        <v>7</v>
      </c>
      <c r="C138" s="10" t="s">
        <v>39</v>
      </c>
      <c r="D138" s="10" t="s">
        <v>11</v>
      </c>
      <c r="E138" s="22">
        <v>-0.5</v>
      </c>
      <c r="F138" s="10" t="s">
        <v>223</v>
      </c>
      <c r="G138" s="10" t="s">
        <v>100</v>
      </c>
      <c r="H138" s="10" t="s">
        <v>343</v>
      </c>
      <c r="I138" s="19">
        <f t="shared" si="15"/>
        <v>2</v>
      </c>
      <c r="J138" s="20">
        <f t="shared" si="16"/>
        <v>0.2</v>
      </c>
      <c r="K138" s="19">
        <f t="shared" si="17"/>
        <v>1.5</v>
      </c>
      <c r="L138" s="21">
        <f t="shared" si="18"/>
        <v>0.30000000000000004</v>
      </c>
    </row>
    <row r="139" spans="1:12" ht="58" customHeight="1">
      <c r="A139" s="10" t="s">
        <v>81</v>
      </c>
      <c r="B139" s="10" t="s">
        <v>7</v>
      </c>
      <c r="C139" s="10" t="s">
        <v>39</v>
      </c>
      <c r="D139" s="10" t="s">
        <v>12</v>
      </c>
      <c r="E139" s="22">
        <v>0</v>
      </c>
      <c r="F139" s="10" t="s">
        <v>162</v>
      </c>
      <c r="G139" s="10" t="s">
        <v>163</v>
      </c>
      <c r="H139" s="10" t="s">
        <v>344</v>
      </c>
      <c r="I139" s="19">
        <f t="shared" si="15"/>
        <v>5</v>
      </c>
      <c r="J139" s="20">
        <f t="shared" si="16"/>
        <v>0.2</v>
      </c>
      <c r="K139" s="19">
        <f t="shared" si="17"/>
        <v>5</v>
      </c>
      <c r="L139" s="21">
        <f t="shared" si="18"/>
        <v>1</v>
      </c>
    </row>
    <row r="140" spans="1:12" ht="58" customHeight="1">
      <c r="A140" s="10" t="s">
        <v>81</v>
      </c>
      <c r="B140" s="10" t="s">
        <v>7</v>
      </c>
      <c r="C140" s="10" t="s">
        <v>40</v>
      </c>
      <c r="D140" s="10" t="s">
        <v>9</v>
      </c>
      <c r="E140" s="22">
        <v>0</v>
      </c>
      <c r="F140" s="10" t="s">
        <v>162</v>
      </c>
      <c r="G140" s="10" t="s">
        <v>163</v>
      </c>
      <c r="H140" s="10" t="s">
        <v>345</v>
      </c>
      <c r="I140" s="19">
        <f t="shared" si="15"/>
        <v>3</v>
      </c>
      <c r="J140" s="20">
        <f t="shared" si="16"/>
        <v>0.15</v>
      </c>
      <c r="K140" s="19">
        <f t="shared" si="17"/>
        <v>3</v>
      </c>
      <c r="L140" s="21">
        <f t="shared" si="18"/>
        <v>0.44999999999999996</v>
      </c>
    </row>
    <row r="141" spans="1:12" ht="58" customHeight="1">
      <c r="A141" s="10" t="s">
        <v>81</v>
      </c>
      <c r="B141" s="10" t="s">
        <v>7</v>
      </c>
      <c r="C141" s="10" t="s">
        <v>40</v>
      </c>
      <c r="D141" s="10" t="s">
        <v>10</v>
      </c>
      <c r="E141" s="22">
        <v>0</v>
      </c>
      <c r="F141" s="10" t="s">
        <v>162</v>
      </c>
      <c r="G141" s="10" t="s">
        <v>163</v>
      </c>
      <c r="H141" s="10" t="s">
        <v>346</v>
      </c>
      <c r="I141" s="19">
        <f t="shared" si="15"/>
        <v>5</v>
      </c>
      <c r="J141" s="20">
        <f t="shared" si="16"/>
        <v>0.15</v>
      </c>
      <c r="K141" s="19">
        <f t="shared" si="17"/>
        <v>5</v>
      </c>
      <c r="L141" s="21">
        <f t="shared" si="18"/>
        <v>0.75</v>
      </c>
    </row>
    <row r="142" spans="1:12" ht="58" customHeight="1">
      <c r="A142" s="10" t="s">
        <v>81</v>
      </c>
      <c r="B142" s="10" t="s">
        <v>7</v>
      </c>
      <c r="C142" s="10" t="s">
        <v>40</v>
      </c>
      <c r="D142" s="10" t="s">
        <v>11</v>
      </c>
      <c r="E142" s="22">
        <v>-0.5</v>
      </c>
      <c r="F142" s="10" t="s">
        <v>226</v>
      </c>
      <c r="G142" s="10" t="s">
        <v>100</v>
      </c>
      <c r="H142" s="10" t="s">
        <v>347</v>
      </c>
      <c r="I142" s="19">
        <f t="shared" si="15"/>
        <v>2</v>
      </c>
      <c r="J142" s="20">
        <f t="shared" si="16"/>
        <v>0.15</v>
      </c>
      <c r="K142" s="19">
        <f t="shared" si="17"/>
        <v>1.5</v>
      </c>
      <c r="L142" s="21">
        <f t="shared" si="18"/>
        <v>0.22499999999999998</v>
      </c>
    </row>
    <row r="143" spans="1:12" ht="58" customHeight="1">
      <c r="A143" s="10" t="s">
        <v>81</v>
      </c>
      <c r="B143" s="10" t="s">
        <v>7</v>
      </c>
      <c r="C143" s="10" t="s">
        <v>40</v>
      </c>
      <c r="D143" s="10" t="s">
        <v>12</v>
      </c>
      <c r="E143" s="22">
        <v>0</v>
      </c>
      <c r="F143" s="10" t="s">
        <v>162</v>
      </c>
      <c r="G143" s="10" t="s">
        <v>163</v>
      </c>
      <c r="H143" s="10" t="s">
        <v>348</v>
      </c>
      <c r="I143" s="19">
        <f t="shared" si="15"/>
        <v>5</v>
      </c>
      <c r="J143" s="20">
        <f t="shared" si="16"/>
        <v>0.15</v>
      </c>
      <c r="K143" s="19">
        <f t="shared" si="17"/>
        <v>5</v>
      </c>
      <c r="L143" s="21">
        <f t="shared" si="18"/>
        <v>0.75</v>
      </c>
    </row>
    <row r="144" spans="1:12" ht="58" customHeight="1">
      <c r="A144" s="10" t="s">
        <v>81</v>
      </c>
      <c r="B144" s="10" t="s">
        <v>7</v>
      </c>
      <c r="C144" s="10" t="s">
        <v>41</v>
      </c>
      <c r="D144" s="10" t="s">
        <v>9</v>
      </c>
      <c r="E144" s="22">
        <v>0</v>
      </c>
      <c r="F144" s="10" t="s">
        <v>162</v>
      </c>
      <c r="G144" s="10" t="s">
        <v>163</v>
      </c>
      <c r="H144" s="10" t="s">
        <v>349</v>
      </c>
      <c r="I144" s="19">
        <f t="shared" si="15"/>
        <v>3</v>
      </c>
      <c r="J144" s="20">
        <f t="shared" si="16"/>
        <v>0.15</v>
      </c>
      <c r="K144" s="19">
        <f t="shared" si="17"/>
        <v>3</v>
      </c>
      <c r="L144" s="21">
        <f t="shared" si="18"/>
        <v>0.44999999999999996</v>
      </c>
    </row>
    <row r="145" spans="1:12" ht="58" customHeight="1">
      <c r="A145" s="10" t="s">
        <v>81</v>
      </c>
      <c r="B145" s="10" t="s">
        <v>7</v>
      </c>
      <c r="C145" s="10" t="s">
        <v>41</v>
      </c>
      <c r="D145" s="10" t="s">
        <v>10</v>
      </c>
      <c r="E145" s="22">
        <v>0</v>
      </c>
      <c r="F145" s="10" t="s">
        <v>162</v>
      </c>
      <c r="G145" s="10" t="s">
        <v>163</v>
      </c>
      <c r="H145" s="10" t="s">
        <v>350</v>
      </c>
      <c r="I145" s="19">
        <f t="shared" si="15"/>
        <v>4</v>
      </c>
      <c r="J145" s="20">
        <f t="shared" si="16"/>
        <v>0.15</v>
      </c>
      <c r="K145" s="19">
        <f t="shared" si="17"/>
        <v>4</v>
      </c>
      <c r="L145" s="21">
        <f t="shared" si="18"/>
        <v>0.6</v>
      </c>
    </row>
    <row r="146" spans="1:12" ht="58" customHeight="1">
      <c r="A146" s="10" t="s">
        <v>81</v>
      </c>
      <c r="B146" s="10" t="s">
        <v>7</v>
      </c>
      <c r="C146" s="10" t="s">
        <v>41</v>
      </c>
      <c r="D146" s="10" t="s">
        <v>11</v>
      </c>
      <c r="E146" s="22">
        <v>0</v>
      </c>
      <c r="F146" s="10" t="s">
        <v>162</v>
      </c>
      <c r="G146" s="10" t="s">
        <v>163</v>
      </c>
      <c r="H146" s="10" t="s">
        <v>351</v>
      </c>
      <c r="I146" s="19">
        <f t="shared" si="15"/>
        <v>5</v>
      </c>
      <c r="J146" s="20">
        <f t="shared" si="16"/>
        <v>0.15</v>
      </c>
      <c r="K146" s="19">
        <f t="shared" si="17"/>
        <v>5</v>
      </c>
      <c r="L146" s="21">
        <f t="shared" si="18"/>
        <v>0.75</v>
      </c>
    </row>
    <row r="147" spans="1:12" ht="58" customHeight="1">
      <c r="A147" s="10" t="s">
        <v>81</v>
      </c>
      <c r="B147" s="10" t="s">
        <v>7</v>
      </c>
      <c r="C147" s="10" t="s">
        <v>41</v>
      </c>
      <c r="D147" s="10" t="s">
        <v>12</v>
      </c>
      <c r="E147" s="22">
        <v>0</v>
      </c>
      <c r="F147" s="10" t="s">
        <v>162</v>
      </c>
      <c r="G147" s="10" t="s">
        <v>163</v>
      </c>
      <c r="H147" s="10" t="s">
        <v>352</v>
      </c>
      <c r="I147" s="19">
        <f t="shared" si="15"/>
        <v>1</v>
      </c>
      <c r="J147" s="20">
        <f t="shared" si="16"/>
        <v>0.15</v>
      </c>
      <c r="K147" s="19">
        <f t="shared" si="17"/>
        <v>1</v>
      </c>
      <c r="L147" s="21">
        <f t="shared" si="18"/>
        <v>0.15</v>
      </c>
    </row>
  </sheetData>
  <mergeCells count="17">
    <mergeCell ref="N59:T59"/>
    <mergeCell ref="N55:T55"/>
    <mergeCell ref="N4:T4"/>
    <mergeCell ref="N56:T56"/>
    <mergeCell ref="N20:Q20"/>
    <mergeCell ref="N54:T54"/>
    <mergeCell ref="A1:T1"/>
    <mergeCell ref="A26:L26"/>
    <mergeCell ref="N58:T58"/>
    <mergeCell ref="N57:T57"/>
    <mergeCell ref="C21:D21"/>
    <mergeCell ref="C24:D24"/>
    <mergeCell ref="A2:T2"/>
    <mergeCell ref="C22:D22"/>
    <mergeCell ref="A20:M20"/>
    <mergeCell ref="A4:I4"/>
    <mergeCell ref="C23:D23"/>
  </mergeCells>
  <dataValidations count="3">
    <dataValidation type="decimal" sqref="C6:C15" xr:uid="{00000000-0002-0000-0100-000000000000}">
      <formula1>0</formula1>
      <formula2>1</formula2>
    </dataValidation>
    <dataValidation type="decimal" sqref="F6:I15" xr:uid="{00000000-0002-0000-0100-000001000000}">
      <formula1>1</formula1>
      <formula2>5</formula2>
    </dataValidation>
    <dataValidation type="list" sqref="E28:E147" xr:uid="{00000000-0002-0000-0100-000002000000}">
      <formula1>"-0.5,0,0.5"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showGridLines="0" topLeftCell="A11" workbookViewId="0">
      <selection sqref="A1:H1"/>
    </sheetView>
  </sheetViews>
  <sheetFormatPr baseColWidth="10" defaultColWidth="8.83203125" defaultRowHeight="14"/>
  <cols>
    <col min="1" max="8" width="18" customWidth="1"/>
  </cols>
  <sheetData>
    <row r="1" spans="1:8" ht="32" customHeight="1">
      <c r="A1" s="87" t="s">
        <v>353</v>
      </c>
      <c r="B1" s="46"/>
      <c r="C1" s="46"/>
      <c r="D1" s="46"/>
      <c r="E1" s="46"/>
      <c r="F1" s="46"/>
      <c r="G1" s="46"/>
      <c r="H1" s="46"/>
    </row>
    <row r="2" spans="1:8" ht="32" customHeight="1">
      <c r="A2" s="102" t="s">
        <v>354</v>
      </c>
      <c r="B2" s="46"/>
      <c r="C2" s="46"/>
      <c r="D2" s="46"/>
      <c r="E2" s="46"/>
      <c r="F2" s="46"/>
      <c r="G2" s="46"/>
      <c r="H2" s="46"/>
    </row>
    <row r="4" spans="1:8" ht="36" customHeight="1">
      <c r="A4" s="98" t="s">
        <v>355</v>
      </c>
      <c r="B4" s="46"/>
      <c r="C4" s="46"/>
      <c r="D4" s="46"/>
      <c r="E4" s="46"/>
      <c r="F4" s="46"/>
      <c r="G4" s="46"/>
      <c r="H4" s="46"/>
    </row>
    <row r="5" spans="1:8" ht="36" customHeight="1">
      <c r="A5" s="101" t="s">
        <v>356</v>
      </c>
      <c r="B5" s="90"/>
      <c r="C5" s="90"/>
      <c r="D5" s="90"/>
      <c r="E5" s="90"/>
      <c r="F5" s="90"/>
      <c r="G5" s="90"/>
      <c r="H5" s="91"/>
    </row>
    <row r="6" spans="1:8" ht="36" customHeight="1">
      <c r="A6" s="100" t="s">
        <v>357</v>
      </c>
      <c r="B6" s="90"/>
      <c r="C6" s="90"/>
      <c r="D6" s="90"/>
      <c r="E6" s="90"/>
      <c r="F6" s="90"/>
      <c r="G6" s="90"/>
      <c r="H6" s="91"/>
    </row>
    <row r="7" spans="1:8" ht="36" customHeight="1">
      <c r="A7" s="101" t="s">
        <v>358</v>
      </c>
      <c r="B7" s="90"/>
      <c r="C7" s="90"/>
      <c r="D7" s="90"/>
      <c r="E7" s="90"/>
      <c r="F7" s="90"/>
      <c r="G7" s="90"/>
      <c r="H7" s="91"/>
    </row>
    <row r="8" spans="1:8" ht="36" customHeight="1">
      <c r="A8" s="5"/>
      <c r="B8" s="5"/>
      <c r="C8" s="5"/>
      <c r="D8" s="5"/>
      <c r="E8" s="5"/>
      <c r="F8" s="5"/>
      <c r="G8" s="5"/>
      <c r="H8" s="5"/>
    </row>
    <row r="9" spans="1:8" ht="36" customHeight="1">
      <c r="A9" s="98" t="s">
        <v>359</v>
      </c>
      <c r="B9" s="46"/>
      <c r="C9" s="46"/>
      <c r="D9" s="46"/>
      <c r="E9" s="46"/>
      <c r="F9" s="46"/>
      <c r="G9" s="46"/>
      <c r="H9" s="46"/>
    </row>
    <row r="10" spans="1:8" ht="36" customHeight="1">
      <c r="A10" s="101" t="s">
        <v>360</v>
      </c>
      <c r="B10" s="90"/>
      <c r="C10" s="90"/>
      <c r="D10" s="90"/>
      <c r="E10" s="90"/>
      <c r="F10" s="90"/>
      <c r="G10" s="90"/>
      <c r="H10" s="91"/>
    </row>
    <row r="11" spans="1:8" ht="36" customHeight="1">
      <c r="A11" s="89" t="s">
        <v>361</v>
      </c>
      <c r="B11" s="90"/>
      <c r="C11" s="90"/>
      <c r="D11" s="90"/>
      <c r="E11" s="90"/>
      <c r="F11" s="90"/>
      <c r="G11" s="90"/>
      <c r="H11" s="91"/>
    </row>
    <row r="12" spans="1:8" ht="36" customHeight="1">
      <c r="A12" s="101" t="s">
        <v>362</v>
      </c>
      <c r="B12" s="90"/>
      <c r="C12" s="90"/>
      <c r="D12" s="90"/>
      <c r="E12" s="90"/>
      <c r="F12" s="90"/>
      <c r="G12" s="90"/>
      <c r="H12" s="91"/>
    </row>
    <row r="13" spans="1:8" ht="36" customHeight="1">
      <c r="A13" s="5"/>
      <c r="B13" s="5"/>
      <c r="C13" s="5"/>
      <c r="D13" s="5"/>
      <c r="E13" s="5"/>
      <c r="F13" s="5"/>
      <c r="G13" s="5"/>
      <c r="H13" s="5"/>
    </row>
    <row r="14" spans="1:8" ht="36" customHeight="1">
      <c r="A14" s="104" t="s">
        <v>363</v>
      </c>
      <c r="B14" s="46"/>
      <c r="C14" s="46"/>
      <c r="D14" s="46"/>
      <c r="E14" s="46"/>
      <c r="F14" s="46"/>
      <c r="G14" s="46"/>
      <c r="H14" s="46"/>
    </row>
    <row r="15" spans="1:8" ht="36" customHeight="1">
      <c r="A15" s="99" t="s">
        <v>364</v>
      </c>
      <c r="B15" s="90"/>
      <c r="C15" s="90"/>
      <c r="D15" s="90"/>
      <c r="E15" s="90"/>
      <c r="F15" s="90"/>
      <c r="G15" s="90"/>
      <c r="H15" s="91"/>
    </row>
    <row r="16" spans="1:8" ht="36" customHeight="1">
      <c r="A16" s="89" t="s">
        <v>365</v>
      </c>
      <c r="B16" s="90"/>
      <c r="C16" s="90"/>
      <c r="D16" s="90"/>
      <c r="E16" s="90"/>
      <c r="F16" s="90"/>
      <c r="G16" s="90"/>
      <c r="H16" s="91"/>
    </row>
    <row r="17" spans="1:8" ht="36" customHeight="1">
      <c r="A17" s="99" t="s">
        <v>366</v>
      </c>
      <c r="B17" s="90"/>
      <c r="C17" s="90"/>
      <c r="D17" s="90"/>
      <c r="E17" s="90"/>
      <c r="F17" s="90"/>
      <c r="G17" s="90"/>
      <c r="H17" s="91"/>
    </row>
    <row r="18" spans="1:8" ht="36" customHeight="1">
      <c r="A18" s="89" t="s">
        <v>367</v>
      </c>
      <c r="B18" s="90"/>
      <c r="C18" s="90"/>
      <c r="D18" s="90"/>
      <c r="E18" s="90"/>
      <c r="F18" s="90"/>
      <c r="G18" s="90"/>
      <c r="H18" s="91"/>
    </row>
    <row r="19" spans="1:8" ht="36" customHeight="1">
      <c r="A19" s="101" t="s">
        <v>368</v>
      </c>
      <c r="B19" s="90"/>
      <c r="C19" s="90"/>
      <c r="D19" s="90"/>
      <c r="E19" s="90"/>
      <c r="F19" s="90"/>
      <c r="G19" s="90"/>
      <c r="H19" s="91"/>
    </row>
    <row r="20" spans="1:8" ht="36" customHeight="1">
      <c r="A20" s="5"/>
      <c r="B20" s="5"/>
      <c r="C20" s="5"/>
      <c r="D20" s="5"/>
      <c r="E20" s="5"/>
      <c r="F20" s="5"/>
      <c r="G20" s="5"/>
      <c r="H20" s="5"/>
    </row>
    <row r="21" spans="1:8" ht="36" customHeight="1">
      <c r="A21" s="98" t="s">
        <v>369</v>
      </c>
      <c r="B21" s="46"/>
      <c r="C21" s="46"/>
      <c r="D21" s="46"/>
      <c r="E21" s="46"/>
      <c r="F21" s="46"/>
      <c r="G21" s="46"/>
      <c r="H21" s="46"/>
    </row>
    <row r="22" spans="1:8" ht="36" customHeight="1">
      <c r="A22" s="101" t="s">
        <v>370</v>
      </c>
      <c r="B22" s="90"/>
      <c r="C22" s="90"/>
      <c r="D22" s="90"/>
      <c r="E22" s="90"/>
      <c r="F22" s="90"/>
      <c r="G22" s="90"/>
      <c r="H22" s="91"/>
    </row>
    <row r="23" spans="1:8" ht="36" customHeight="1">
      <c r="A23" s="89" t="s">
        <v>371</v>
      </c>
      <c r="B23" s="90"/>
      <c r="C23" s="90"/>
      <c r="D23" s="90"/>
      <c r="E23" s="90"/>
      <c r="F23" s="90"/>
      <c r="G23" s="90"/>
      <c r="H23" s="91"/>
    </row>
    <row r="24" spans="1:8" ht="36" customHeight="1">
      <c r="A24" s="99" t="s">
        <v>372</v>
      </c>
      <c r="B24" s="90"/>
      <c r="C24" s="90"/>
      <c r="D24" s="90"/>
      <c r="E24" s="90"/>
      <c r="F24" s="90"/>
      <c r="G24" s="90"/>
      <c r="H24" s="91"/>
    </row>
    <row r="25" spans="1:8" ht="36" customHeight="1">
      <c r="A25" s="5"/>
      <c r="B25" s="5"/>
      <c r="C25" s="5"/>
      <c r="D25" s="5"/>
      <c r="E25" s="5"/>
      <c r="F25" s="5"/>
      <c r="G25" s="5"/>
      <c r="H25" s="5"/>
    </row>
    <row r="26" spans="1:8" ht="36" customHeight="1">
      <c r="A26" s="98" t="s">
        <v>373</v>
      </c>
      <c r="B26" s="46"/>
      <c r="C26" s="46"/>
      <c r="D26" s="46"/>
      <c r="E26" s="46"/>
      <c r="F26" s="46"/>
      <c r="G26" s="46"/>
      <c r="H26" s="46"/>
    </row>
    <row r="27" spans="1:8" ht="36" customHeight="1">
      <c r="A27" s="101" t="s">
        <v>374</v>
      </c>
      <c r="B27" s="90"/>
      <c r="C27" s="90"/>
      <c r="D27" s="90"/>
      <c r="E27" s="90"/>
      <c r="F27" s="90"/>
      <c r="G27" s="90"/>
      <c r="H27" s="91"/>
    </row>
    <row r="28" spans="1:8" ht="36" customHeight="1">
      <c r="A28" s="89" t="s">
        <v>375</v>
      </c>
      <c r="B28" s="90"/>
      <c r="C28" s="90"/>
      <c r="D28" s="90"/>
      <c r="E28" s="90"/>
      <c r="F28" s="90"/>
      <c r="G28" s="90"/>
      <c r="H28" s="91"/>
    </row>
    <row r="29" spans="1:8" ht="36" customHeight="1">
      <c r="A29" s="101" t="s">
        <v>376</v>
      </c>
      <c r="B29" s="90"/>
      <c r="C29" s="90"/>
      <c r="D29" s="90"/>
      <c r="E29" s="90"/>
      <c r="F29" s="90"/>
      <c r="G29" s="90"/>
      <c r="H29" s="91"/>
    </row>
    <row r="30" spans="1:8" ht="36" customHeight="1"/>
    <row r="31" spans="1:8" ht="36" customHeight="1">
      <c r="A31" s="103" t="s">
        <v>377</v>
      </c>
      <c r="B31" s="46"/>
      <c r="C31" s="46"/>
      <c r="D31" s="46"/>
      <c r="E31" s="46"/>
      <c r="F31" s="46"/>
      <c r="G31" s="46"/>
      <c r="H31" s="46"/>
    </row>
  </sheetData>
  <mergeCells count="25">
    <mergeCell ref="A29:H29"/>
    <mergeCell ref="A10:H10"/>
    <mergeCell ref="A28:H28"/>
    <mergeCell ref="A19:H19"/>
    <mergeCell ref="A31:H31"/>
    <mergeCell ref="A27:H27"/>
    <mergeCell ref="A12:H12"/>
    <mergeCell ref="A18:H18"/>
    <mergeCell ref="A26:H26"/>
    <mergeCell ref="A21:H21"/>
    <mergeCell ref="A14:H14"/>
    <mergeCell ref="A23:H23"/>
    <mergeCell ref="A22:H22"/>
    <mergeCell ref="A17:H17"/>
    <mergeCell ref="A9:H9"/>
    <mergeCell ref="A15:H15"/>
    <mergeCell ref="A24:H24"/>
    <mergeCell ref="A11:H11"/>
    <mergeCell ref="A1:H1"/>
    <mergeCell ref="A6:H6"/>
    <mergeCell ref="A7:H7"/>
    <mergeCell ref="A16:H16"/>
    <mergeCell ref="A2:H2"/>
    <mergeCell ref="A5:H5"/>
    <mergeCell ref="A4: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Public Tool</vt:lpstr>
      <vt:lpstr>Public Inputs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 Janse</cp:lastModifiedBy>
  <dcterms:created xsi:type="dcterms:W3CDTF">2026-08-31T11:24:55Z</dcterms:created>
  <dcterms:modified xsi:type="dcterms:W3CDTF">2026-09-17T12:38:45Z</dcterms:modified>
</cp:coreProperties>
</file>