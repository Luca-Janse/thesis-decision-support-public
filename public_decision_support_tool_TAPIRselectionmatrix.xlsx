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lucajanse/Documents/Codex/2026-08-31/res/outputs/tapir-public-inputs-fix/"/>
    </mc:Choice>
  </mc:AlternateContent>
  <xr:revisionPtr revIDLastSave="0" documentId="13_ncr:1_{77DAD7EE-348F-234C-8F91-8F8E2A93108B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Public Tool" sheetId="1" r:id="rId1"/>
    <sheet name="Public Inputs" sheetId="2" r:id="rId2"/>
    <sheet name="Read 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7" i="2" l="1"/>
  <c r="I147" i="2"/>
  <c r="K147" i="2" s="1"/>
  <c r="J146" i="2"/>
  <c r="I146" i="2"/>
  <c r="K146" i="2" s="1"/>
  <c r="J145" i="2"/>
  <c r="I145" i="2"/>
  <c r="K145" i="2" s="1"/>
  <c r="J144" i="2"/>
  <c r="I144" i="2"/>
  <c r="K144" i="2" s="1"/>
  <c r="J143" i="2"/>
  <c r="I143" i="2"/>
  <c r="K143" i="2" s="1"/>
  <c r="J142" i="2"/>
  <c r="I142" i="2"/>
  <c r="K142" i="2" s="1"/>
  <c r="J141" i="2"/>
  <c r="I141" i="2"/>
  <c r="K141" i="2" s="1"/>
  <c r="J140" i="2"/>
  <c r="I140" i="2"/>
  <c r="K140" i="2" s="1"/>
  <c r="J139" i="2"/>
  <c r="I139" i="2"/>
  <c r="K139" i="2" s="1"/>
  <c r="J138" i="2"/>
  <c r="I138" i="2"/>
  <c r="K138" i="2" s="1"/>
  <c r="J137" i="2"/>
  <c r="I137" i="2"/>
  <c r="K137" i="2" s="1"/>
  <c r="J136" i="2"/>
  <c r="I136" i="2"/>
  <c r="K136" i="2" s="1"/>
  <c r="J135" i="2"/>
  <c r="I135" i="2"/>
  <c r="K135" i="2" s="1"/>
  <c r="J134" i="2"/>
  <c r="I134" i="2"/>
  <c r="K134" i="2" s="1"/>
  <c r="J133" i="2"/>
  <c r="I133" i="2"/>
  <c r="K133" i="2" s="1"/>
  <c r="J132" i="2"/>
  <c r="I132" i="2"/>
  <c r="K132" i="2" s="1"/>
  <c r="J131" i="2"/>
  <c r="I131" i="2"/>
  <c r="K131" i="2" s="1"/>
  <c r="J130" i="2"/>
  <c r="I130" i="2"/>
  <c r="K130" i="2" s="1"/>
  <c r="J129" i="2"/>
  <c r="I129" i="2"/>
  <c r="K129" i="2" s="1"/>
  <c r="J128" i="2"/>
  <c r="I128" i="2"/>
  <c r="K128" i="2" s="1"/>
  <c r="J127" i="2"/>
  <c r="I127" i="2"/>
  <c r="K127" i="2" s="1"/>
  <c r="J126" i="2"/>
  <c r="I126" i="2"/>
  <c r="K126" i="2" s="1"/>
  <c r="J125" i="2"/>
  <c r="I125" i="2"/>
  <c r="K125" i="2" s="1"/>
  <c r="J124" i="2"/>
  <c r="I124" i="2"/>
  <c r="K124" i="2" s="1"/>
  <c r="J123" i="2"/>
  <c r="I123" i="2"/>
  <c r="K123" i="2" s="1"/>
  <c r="J122" i="2"/>
  <c r="I122" i="2"/>
  <c r="K122" i="2" s="1"/>
  <c r="J121" i="2"/>
  <c r="I121" i="2"/>
  <c r="K121" i="2" s="1"/>
  <c r="J120" i="2"/>
  <c r="I120" i="2"/>
  <c r="K120" i="2" s="1"/>
  <c r="J119" i="2"/>
  <c r="I119" i="2"/>
  <c r="K119" i="2" s="1"/>
  <c r="J118" i="2"/>
  <c r="I118" i="2"/>
  <c r="K118" i="2" s="1"/>
  <c r="J117" i="2"/>
  <c r="I117" i="2"/>
  <c r="K117" i="2" s="1"/>
  <c r="J116" i="2"/>
  <c r="I116" i="2"/>
  <c r="K116" i="2" s="1"/>
  <c r="J115" i="2"/>
  <c r="I115" i="2"/>
  <c r="K115" i="2" s="1"/>
  <c r="J114" i="2"/>
  <c r="I114" i="2"/>
  <c r="K114" i="2" s="1"/>
  <c r="J113" i="2"/>
  <c r="I113" i="2"/>
  <c r="K113" i="2" s="1"/>
  <c r="J112" i="2"/>
  <c r="I112" i="2"/>
  <c r="K112" i="2" s="1"/>
  <c r="J111" i="2"/>
  <c r="I111" i="2"/>
  <c r="K111" i="2" s="1"/>
  <c r="J110" i="2"/>
  <c r="I110" i="2"/>
  <c r="K110" i="2" s="1"/>
  <c r="J109" i="2"/>
  <c r="I109" i="2"/>
  <c r="K109" i="2" s="1"/>
  <c r="J108" i="2"/>
  <c r="I108" i="2"/>
  <c r="K108" i="2" s="1"/>
  <c r="J107" i="2"/>
  <c r="I107" i="2"/>
  <c r="K107" i="2" s="1"/>
  <c r="J106" i="2"/>
  <c r="I106" i="2"/>
  <c r="K106" i="2" s="1"/>
  <c r="J105" i="2"/>
  <c r="I105" i="2"/>
  <c r="K105" i="2" s="1"/>
  <c r="J104" i="2"/>
  <c r="I104" i="2"/>
  <c r="K104" i="2" s="1"/>
  <c r="J103" i="2"/>
  <c r="I103" i="2"/>
  <c r="K103" i="2" s="1"/>
  <c r="J102" i="2"/>
  <c r="I102" i="2"/>
  <c r="K102" i="2" s="1"/>
  <c r="J101" i="2"/>
  <c r="I101" i="2"/>
  <c r="K101" i="2" s="1"/>
  <c r="J100" i="2"/>
  <c r="I100" i="2"/>
  <c r="K100" i="2" s="1"/>
  <c r="J99" i="2"/>
  <c r="I99" i="2"/>
  <c r="K99" i="2" s="1"/>
  <c r="J98" i="2"/>
  <c r="I98" i="2"/>
  <c r="K98" i="2" s="1"/>
  <c r="J97" i="2"/>
  <c r="I97" i="2"/>
  <c r="K97" i="2" s="1"/>
  <c r="J96" i="2"/>
  <c r="I96" i="2"/>
  <c r="K96" i="2" s="1"/>
  <c r="J95" i="2"/>
  <c r="I95" i="2"/>
  <c r="K95" i="2" s="1"/>
  <c r="J94" i="2"/>
  <c r="I94" i="2"/>
  <c r="K94" i="2" s="1"/>
  <c r="J93" i="2"/>
  <c r="I93" i="2"/>
  <c r="K93" i="2" s="1"/>
  <c r="J92" i="2"/>
  <c r="I92" i="2"/>
  <c r="K92" i="2" s="1"/>
  <c r="J91" i="2"/>
  <c r="I91" i="2"/>
  <c r="K91" i="2" s="1"/>
  <c r="J90" i="2"/>
  <c r="I90" i="2"/>
  <c r="K90" i="2" s="1"/>
  <c r="J89" i="2"/>
  <c r="I89" i="2"/>
  <c r="K89" i="2" s="1"/>
  <c r="J88" i="2"/>
  <c r="I88" i="2"/>
  <c r="K88" i="2" s="1"/>
  <c r="J87" i="2"/>
  <c r="I87" i="2"/>
  <c r="K87" i="2" s="1"/>
  <c r="J86" i="2"/>
  <c r="I86" i="2"/>
  <c r="K86" i="2" s="1"/>
  <c r="J85" i="2"/>
  <c r="I85" i="2"/>
  <c r="K85" i="2" s="1"/>
  <c r="J84" i="2"/>
  <c r="I84" i="2"/>
  <c r="K84" i="2" s="1"/>
  <c r="J83" i="2"/>
  <c r="I83" i="2"/>
  <c r="K83" i="2" s="1"/>
  <c r="J82" i="2"/>
  <c r="I82" i="2"/>
  <c r="K82" i="2" s="1"/>
  <c r="J81" i="2"/>
  <c r="I81" i="2"/>
  <c r="K81" i="2" s="1"/>
  <c r="J80" i="2"/>
  <c r="I80" i="2"/>
  <c r="K80" i="2" s="1"/>
  <c r="J79" i="2"/>
  <c r="I79" i="2"/>
  <c r="K79" i="2" s="1"/>
  <c r="J78" i="2"/>
  <c r="I78" i="2"/>
  <c r="K78" i="2" s="1"/>
  <c r="J77" i="2"/>
  <c r="I77" i="2"/>
  <c r="K77" i="2" s="1"/>
  <c r="J76" i="2"/>
  <c r="I76" i="2"/>
  <c r="K76" i="2" s="1"/>
  <c r="J75" i="2"/>
  <c r="I75" i="2"/>
  <c r="K75" i="2" s="1"/>
  <c r="J74" i="2"/>
  <c r="I74" i="2"/>
  <c r="K74" i="2" s="1"/>
  <c r="J73" i="2"/>
  <c r="I73" i="2"/>
  <c r="K73" i="2" s="1"/>
  <c r="J72" i="2"/>
  <c r="I72" i="2"/>
  <c r="K72" i="2" s="1"/>
  <c r="J71" i="2"/>
  <c r="I71" i="2"/>
  <c r="K71" i="2" s="1"/>
  <c r="J70" i="2"/>
  <c r="I70" i="2"/>
  <c r="K70" i="2" s="1"/>
  <c r="J69" i="2"/>
  <c r="I69" i="2"/>
  <c r="K69" i="2" s="1"/>
  <c r="J68" i="2"/>
  <c r="I68" i="2"/>
  <c r="K68" i="2" s="1"/>
  <c r="J67" i="2"/>
  <c r="I67" i="2"/>
  <c r="K67" i="2" s="1"/>
  <c r="I34" i="1" s="1"/>
  <c r="J66" i="2"/>
  <c r="I66" i="2"/>
  <c r="K66" i="2" s="1"/>
  <c r="H34" i="1" s="1"/>
  <c r="J65" i="2"/>
  <c r="I65" i="2"/>
  <c r="K65" i="2" s="1"/>
  <c r="G34" i="1" s="1"/>
  <c r="J64" i="2"/>
  <c r="I64" i="2"/>
  <c r="K64" i="2" s="1"/>
  <c r="F34" i="1" s="1"/>
  <c r="J63" i="2"/>
  <c r="I63" i="2"/>
  <c r="K63" i="2" s="1"/>
  <c r="I33" i="1" s="1"/>
  <c r="J62" i="2"/>
  <c r="I62" i="2"/>
  <c r="K62" i="2" s="1"/>
  <c r="H33" i="1" s="1"/>
  <c r="J61" i="2"/>
  <c r="I61" i="2"/>
  <c r="K61" i="2" s="1"/>
  <c r="G33" i="1" s="1"/>
  <c r="J60" i="2"/>
  <c r="I60" i="2"/>
  <c r="K60" i="2" s="1"/>
  <c r="F33" i="1" s="1"/>
  <c r="J59" i="2"/>
  <c r="I59" i="2"/>
  <c r="K59" i="2" s="1"/>
  <c r="I32" i="1" s="1"/>
  <c r="J58" i="2"/>
  <c r="I58" i="2"/>
  <c r="K58" i="2" s="1"/>
  <c r="H32" i="1" s="1"/>
  <c r="J57" i="2"/>
  <c r="I57" i="2"/>
  <c r="K57" i="2" s="1"/>
  <c r="G32" i="1" s="1"/>
  <c r="J56" i="2"/>
  <c r="I56" i="2"/>
  <c r="K56" i="2" s="1"/>
  <c r="F32" i="1" s="1"/>
  <c r="J55" i="2"/>
  <c r="I55" i="2"/>
  <c r="K55" i="2" s="1"/>
  <c r="I31" i="1" s="1"/>
  <c r="J54" i="2"/>
  <c r="I54" i="2"/>
  <c r="K54" i="2" s="1"/>
  <c r="H31" i="1" s="1"/>
  <c r="J53" i="2"/>
  <c r="I53" i="2"/>
  <c r="K53" i="2" s="1"/>
  <c r="G31" i="1" s="1"/>
  <c r="J52" i="2"/>
  <c r="I52" i="2"/>
  <c r="K52" i="2" s="1"/>
  <c r="F31" i="1" s="1"/>
  <c r="J51" i="2"/>
  <c r="I51" i="2"/>
  <c r="K51" i="2" s="1"/>
  <c r="I30" i="1" s="1"/>
  <c r="J50" i="2"/>
  <c r="I50" i="2"/>
  <c r="K50" i="2" s="1"/>
  <c r="H30" i="1" s="1"/>
  <c r="J49" i="2"/>
  <c r="I49" i="2"/>
  <c r="K49" i="2" s="1"/>
  <c r="G30" i="1" s="1"/>
  <c r="J48" i="2"/>
  <c r="I48" i="2"/>
  <c r="K48" i="2" s="1"/>
  <c r="F30" i="1" s="1"/>
  <c r="J47" i="2"/>
  <c r="I47" i="2"/>
  <c r="K47" i="2" s="1"/>
  <c r="I29" i="1" s="1"/>
  <c r="J46" i="2"/>
  <c r="I46" i="2"/>
  <c r="K46" i="2" s="1"/>
  <c r="H29" i="1" s="1"/>
  <c r="J45" i="2"/>
  <c r="I45" i="2"/>
  <c r="K45" i="2" s="1"/>
  <c r="G29" i="1" s="1"/>
  <c r="J44" i="2"/>
  <c r="I44" i="2"/>
  <c r="K44" i="2" s="1"/>
  <c r="F29" i="1" s="1"/>
  <c r="J43" i="2"/>
  <c r="I43" i="2"/>
  <c r="K43" i="2" s="1"/>
  <c r="I28" i="1" s="1"/>
  <c r="J42" i="2"/>
  <c r="I42" i="2"/>
  <c r="K42" i="2" s="1"/>
  <c r="H28" i="1" s="1"/>
  <c r="J41" i="2"/>
  <c r="I41" i="2"/>
  <c r="K41" i="2" s="1"/>
  <c r="G28" i="1" s="1"/>
  <c r="J40" i="2"/>
  <c r="I40" i="2"/>
  <c r="K40" i="2" s="1"/>
  <c r="F28" i="1" s="1"/>
  <c r="J39" i="2"/>
  <c r="I39" i="2"/>
  <c r="K39" i="2" s="1"/>
  <c r="I27" i="1" s="1"/>
  <c r="J38" i="2"/>
  <c r="I38" i="2"/>
  <c r="K38" i="2" s="1"/>
  <c r="H27" i="1" s="1"/>
  <c r="J37" i="2"/>
  <c r="I37" i="2"/>
  <c r="K37" i="2" s="1"/>
  <c r="G27" i="1" s="1"/>
  <c r="J36" i="2"/>
  <c r="I36" i="2"/>
  <c r="K36" i="2" s="1"/>
  <c r="F27" i="1" s="1"/>
  <c r="J35" i="2"/>
  <c r="I35" i="2"/>
  <c r="K35" i="2" s="1"/>
  <c r="I26" i="1" s="1"/>
  <c r="J34" i="2"/>
  <c r="I34" i="2"/>
  <c r="K34" i="2" s="1"/>
  <c r="H26" i="1" s="1"/>
  <c r="J33" i="2"/>
  <c r="I33" i="2"/>
  <c r="K33" i="2" s="1"/>
  <c r="G26" i="1" s="1"/>
  <c r="J32" i="2"/>
  <c r="I32" i="2"/>
  <c r="K32" i="2" s="1"/>
  <c r="F26" i="1" s="1"/>
  <c r="J31" i="2"/>
  <c r="I31" i="2"/>
  <c r="K31" i="2" s="1"/>
  <c r="I25" i="1" s="1"/>
  <c r="J30" i="2"/>
  <c r="I30" i="2"/>
  <c r="K30" i="2" s="1"/>
  <c r="H25" i="1" s="1"/>
  <c r="J29" i="2"/>
  <c r="I29" i="2"/>
  <c r="K29" i="2" s="1"/>
  <c r="G25" i="1" s="1"/>
  <c r="J28" i="2"/>
  <c r="I28" i="2"/>
  <c r="K28" i="2" s="1"/>
  <c r="F25" i="1" s="1"/>
  <c r="E17" i="2"/>
  <c r="C17" i="2"/>
  <c r="F17" i="2" s="1"/>
  <c r="J34" i="1"/>
  <c r="E34" i="1"/>
  <c r="D34" i="1"/>
  <c r="J33" i="1"/>
  <c r="E33" i="1"/>
  <c r="D33" i="1"/>
  <c r="J32" i="1"/>
  <c r="E32" i="1"/>
  <c r="D32" i="1"/>
  <c r="J31" i="1"/>
  <c r="E31" i="1"/>
  <c r="D31" i="1"/>
  <c r="J30" i="1"/>
  <c r="E30" i="1"/>
  <c r="D30" i="1"/>
  <c r="J29" i="1"/>
  <c r="E29" i="1"/>
  <c r="D29" i="1"/>
  <c r="J28" i="1"/>
  <c r="E28" i="1"/>
  <c r="D28" i="1"/>
  <c r="J27" i="1"/>
  <c r="E27" i="1"/>
  <c r="D27" i="1"/>
  <c r="J26" i="1"/>
  <c r="E26" i="1"/>
  <c r="D26" i="1"/>
  <c r="J25" i="1"/>
  <c r="E25" i="1"/>
  <c r="D25" i="1"/>
  <c r="C21" i="1"/>
  <c r="J20" i="1"/>
  <c r="G20" i="1"/>
  <c r="D20" i="1"/>
  <c r="G15" i="1"/>
  <c r="E15" i="1"/>
  <c r="A15" i="1"/>
  <c r="I13" i="1"/>
  <c r="E13" i="1"/>
  <c r="A13" i="1"/>
  <c r="H8" i="1"/>
  <c r="L57" i="2" l="1"/>
  <c r="L61" i="2"/>
  <c r="L65" i="2"/>
  <c r="L69" i="2"/>
  <c r="L73" i="2"/>
  <c r="L77" i="2"/>
  <c r="L81" i="2"/>
  <c r="L85" i="2"/>
  <c r="L89" i="2"/>
  <c r="L93" i="2"/>
  <c r="L97" i="2"/>
  <c r="L101" i="2"/>
  <c r="L105" i="2"/>
  <c r="L109" i="2"/>
  <c r="P15" i="2" s="1"/>
  <c r="L113" i="2"/>
  <c r="L117" i="2"/>
  <c r="L121" i="2"/>
  <c r="L125" i="2"/>
  <c r="L129" i="2"/>
  <c r="L133" i="2"/>
  <c r="L137" i="2"/>
  <c r="L141" i="2"/>
  <c r="L145" i="2"/>
  <c r="L28" i="2"/>
  <c r="L32" i="2"/>
  <c r="L36" i="2"/>
  <c r="L40" i="2"/>
  <c r="L44" i="2"/>
  <c r="L48" i="2"/>
  <c r="L52" i="2"/>
  <c r="L56" i="2"/>
  <c r="L60" i="2"/>
  <c r="L64" i="2"/>
  <c r="L68" i="2"/>
  <c r="L72" i="2"/>
  <c r="L76" i="2"/>
  <c r="L80" i="2"/>
  <c r="L84" i="2"/>
  <c r="L88" i="2"/>
  <c r="Q10" i="2" s="1"/>
  <c r="L92" i="2"/>
  <c r="L96" i="2"/>
  <c r="L100" i="2"/>
  <c r="L104" i="2"/>
  <c r="L108" i="2"/>
  <c r="L112" i="2"/>
  <c r="L116" i="2"/>
  <c r="L120" i="2"/>
  <c r="L124" i="2"/>
  <c r="L128" i="2"/>
  <c r="L132" i="2"/>
  <c r="L136" i="2"/>
  <c r="L140" i="2"/>
  <c r="L144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Q16" i="2" s="1"/>
  <c r="L134" i="2"/>
  <c r="L138" i="2"/>
  <c r="L142" i="2"/>
  <c r="L146" i="2"/>
  <c r="L29" i="2"/>
  <c r="L33" i="2"/>
  <c r="L37" i="2"/>
  <c r="L41" i="2"/>
  <c r="L45" i="2"/>
  <c r="L49" i="2"/>
  <c r="L53" i="2"/>
  <c r="L31" i="2"/>
  <c r="L35" i="2"/>
  <c r="L39" i="2"/>
  <c r="L43" i="2"/>
  <c r="L47" i="2"/>
  <c r="L51" i="2"/>
  <c r="L55" i="2"/>
  <c r="L59" i="2"/>
  <c r="L63" i="2"/>
  <c r="L67" i="2"/>
  <c r="L71" i="2"/>
  <c r="L75" i="2"/>
  <c r="L79" i="2"/>
  <c r="L83" i="2"/>
  <c r="L87" i="2"/>
  <c r="L91" i="2"/>
  <c r="L95" i="2"/>
  <c r="L99" i="2"/>
  <c r="L103" i="2"/>
  <c r="L107" i="2"/>
  <c r="L111" i="2"/>
  <c r="L115" i="2"/>
  <c r="L119" i="2"/>
  <c r="L123" i="2"/>
  <c r="L127" i="2"/>
  <c r="L131" i="2"/>
  <c r="L135" i="2"/>
  <c r="L139" i="2"/>
  <c r="L143" i="2"/>
  <c r="L147" i="2"/>
  <c r="Q15" i="2" l="1"/>
  <c r="R15" i="2" s="1"/>
  <c r="S15" i="2" s="1"/>
  <c r="P11" i="2"/>
  <c r="Q11" i="2"/>
  <c r="P8" i="2"/>
  <c r="Q12" i="2"/>
  <c r="Q6" i="2"/>
  <c r="E6" i="1" s="1"/>
  <c r="P9" i="2"/>
  <c r="P7" i="2"/>
  <c r="P14" i="2"/>
  <c r="P13" i="2"/>
  <c r="Q13" i="2"/>
  <c r="P16" i="2"/>
  <c r="R16" i="2" s="1"/>
  <c r="S16" i="2" s="1"/>
  <c r="Q9" i="2"/>
  <c r="E9" i="1" s="1"/>
  <c r="Q7" i="2"/>
  <c r="E7" i="1" s="1"/>
  <c r="Q14" i="2"/>
  <c r="Q17" i="2"/>
  <c r="Q8" i="2"/>
  <c r="E8" i="1" s="1"/>
  <c r="P10" i="2"/>
  <c r="R10" i="2" s="1"/>
  <c r="S10" i="2" s="1"/>
  <c r="P17" i="2"/>
  <c r="R17" i="2" s="1"/>
  <c r="S17" i="2" s="1"/>
  <c r="P12" i="2"/>
  <c r="P6" i="2"/>
  <c r="R12" i="2" l="1"/>
  <c r="S12" i="2" s="1"/>
  <c r="R11" i="2"/>
  <c r="S11" i="2" s="1"/>
  <c r="R14" i="2"/>
  <c r="S14" i="2" s="1"/>
  <c r="R7" i="2"/>
  <c r="D7" i="1"/>
  <c r="R9" i="2"/>
  <c r="D9" i="1"/>
  <c r="R6" i="2"/>
  <c r="D6" i="1"/>
  <c r="R13" i="2"/>
  <c r="S13" i="2" s="1"/>
  <c r="R8" i="2"/>
  <c r="D8" i="1"/>
  <c r="S9" i="2" l="1"/>
  <c r="F9" i="1"/>
  <c r="S7" i="2"/>
  <c r="F7" i="1"/>
  <c r="F6" i="1"/>
  <c r="S6" i="2"/>
  <c r="S8" i="2"/>
  <c r="F8" i="1"/>
  <c r="H5" i="1" l="1"/>
  <c r="H7" i="1" s="1"/>
</calcChain>
</file>

<file path=xl/sharedStrings.xml><?xml version="1.0" encoding="utf-8"?>
<sst xmlns="http://schemas.openxmlformats.org/spreadsheetml/2006/main" count="1420" uniqueCount="349">
  <si>
    <t>TAPIR Public Decision-Support Tool</t>
  </si>
  <si>
    <t>Compare the same four response options using anonymised case evidence and percentage-only load indicators</t>
  </si>
  <si>
    <t>SELECTED CASE</t>
  </si>
  <si>
    <t>Schouwen-Duiveland</t>
  </si>
  <si>
    <t>Response-option ranking</t>
  </si>
  <si>
    <t>Preferred response option</t>
  </si>
  <si>
    <t>Response option</t>
  </si>
  <si>
    <t>Grid operator</t>
  </si>
  <si>
    <t>Company</t>
  </si>
  <si>
    <t>Equal actor average</t>
  </si>
  <si>
    <t>Conventional grid reinforcement</t>
  </si>
  <si>
    <t>Battery + EMS</t>
  </si>
  <si>
    <t>Group Transport Agreement</t>
  </si>
  <si>
    <t>No additional intervention</t>
  </si>
  <si>
    <t>Public case context</t>
  </si>
  <si>
    <t>Case region</t>
  </si>
  <si>
    <t>Village</t>
  </si>
  <si>
    <t>Evidence basis</t>
  </si>
  <si>
    <t>Peak-period daily demand index</t>
  </si>
  <si>
    <t>Medium-voltage station ATC</t>
  </si>
  <si>
    <t>Main distribution station baseline ATC</t>
  </si>
  <si>
    <t>Public-data status</t>
  </si>
  <si>
    <t>Percentage-only indicators; identifiers and absolute values removed</t>
  </si>
  <si>
    <t>Percentage-based grid assessment</t>
  </si>
  <si>
    <t>ATC indicators show load as a percentage of available transport capacity. The assessment threshold is 90%; no absolute load or capacity value is stored in this workbook.</t>
  </si>
  <si>
    <t>Assessment threshold</t>
  </si>
  <si>
    <t>Baseline ATC</t>
  </si>
  <si>
    <t>After battery + EMS</t>
  </si>
  <si>
    <t>After Group Transport Agreement</t>
  </si>
  <si>
    <t>Outcome</t>
  </si>
  <si>
    <t>TAPIR-adjusted criteria and selected-case scores</t>
  </si>
  <si>
    <t>Actor</t>
  </si>
  <si>
    <t>Criterion</t>
  </si>
  <si>
    <t>Weight</t>
  </si>
  <si>
    <t>TAPIR factor</t>
  </si>
  <si>
    <t>Case-specific public evidence</t>
  </si>
  <si>
    <t>Grid-operator life-cycle cost and investment effect</t>
  </si>
  <si>
    <t>Timing, duration, reliability and predictability</t>
  </si>
  <si>
    <t>Speed and effect on reinforcement bridge gap</t>
  </si>
  <si>
    <t>Technical and operational readiness</t>
  </si>
  <si>
    <t>Legal, contractual and policy embeddedness</t>
  </si>
  <si>
    <t>Financial attractiveness</t>
  </si>
  <si>
    <t>Implementation speed and urgency fit</t>
  </si>
  <si>
    <t>Knowledge and organisational burden</t>
  </si>
  <si>
    <t>Autonomy and dependency</t>
  </si>
  <si>
    <t>Sustainability, image and strategic risk</t>
  </si>
  <si>
    <t>Interpretation and public-use note</t>
  </si>
  <si>
    <t>Response option is the umbrella term for the four alternatives. Battery + EMS and the Group Transport Agreement are the flexibility-solution subset; conventional grid reinforcement and no additional intervention are not flexibility solutions.</t>
  </si>
  <si>
    <t>Flexibility is assessed as a possible complement to or bridge towards reinforcement. It is not assumed to replace reinforcement where the percentage-based grid evidence indicates that physical capacity remains necessary.</t>
  </si>
  <si>
    <t>Confidentiality: the workbook contains no village names, station names or codes, absolute load/capacity values, exact project costs, internal source filenames, hidden sheets or external links.</t>
  </si>
  <si>
    <t>Public TAPIR Inputs and Scoring Logic</t>
  </si>
  <si>
    <t>Public version: village names and grid assets are anonymised</t>
  </si>
  <si>
    <t>Public version: village names and grid assets are anonymised; absolute load, capacity, project-cost and station-level source data are excluded.</t>
  </si>
  <si>
    <t>Editable base criteria, weights and response-option scores</t>
  </si>
  <si>
    <t>Case-specific pathway result library</t>
  </si>
  <si>
    <t>KPI / evidence basis</t>
  </si>
  <si>
    <t>Grid-operator score</t>
  </si>
  <si>
    <t>Company score</t>
  </si>
  <si>
    <t>Result</t>
  </si>
  <si>
    <t>Lookup key</t>
  </si>
  <si>
    <t>Economic prospects</t>
  </si>
  <si>
    <t>Relative investment implications, flexibility cost and potential reinforcement deferral; absolute project values are excluded.</t>
  </si>
  <si>
    <t>Schouwen-Duiveland|Conventional grid reinforcement</t>
  </si>
  <si>
    <t>Maturity</t>
  </si>
  <si>
    <t>Threshold exceedance pattern, timing, availability and asset life, expressed without absolute load data.</t>
  </si>
  <si>
    <t>Schouwen-Duiveland|Battery + EMS</t>
  </si>
  <si>
    <t>Feasibility</t>
  </si>
  <si>
    <t>Whether an option is available during the bridge period and reduces ATC stress to 90% or below.</t>
  </si>
  <si>
    <t>Schouwen-Duiveland|Group Transport Agreement</t>
  </si>
  <si>
    <t>Installed assets, control systems and the operational status of flexibility arrangements.</t>
  </si>
  <si>
    <t>Schouwen-Duiveland|No additional intervention</t>
  </si>
  <si>
    <t>Local embeddedness</t>
  </si>
  <si>
    <t>Legal status, agreements, connection conditions and policy alignment.</t>
  </si>
  <si>
    <t>Walcheren</t>
  </si>
  <si>
    <t>Walcheren|Conventional grid reinforcement</t>
  </si>
  <si>
    <t>Relative cost, benefit, payback and compensation considerations; confidential monetary values are excluded.</t>
  </si>
  <si>
    <t>Walcheren|Battery + EMS</t>
  </si>
  <si>
    <t>Case-specific lead time and availability before the constraint becomes binding.</t>
  </si>
  <si>
    <t>Walcheren|Group Transport Agreement</t>
  </si>
  <si>
    <t>Scalability + feasibility</t>
  </si>
  <si>
    <t>Advice needs, actors involved, management time and coordination requirements.</t>
  </si>
  <si>
    <t>Walcheren|No additional intervention</t>
  </si>
  <si>
    <t>Regional relatedness + local embeddedness</t>
  </si>
  <si>
    <t>Asset control, dependence on other actors and collective decision requirements.</t>
  </si>
  <si>
    <t>West-Zeeuws-Vlaanderen</t>
  </si>
  <si>
    <t>West-Zeeuws-Vlaanderen|Conventional grid reinforcement</t>
  </si>
  <si>
    <t>Climate and energy impacts</t>
  </si>
  <si>
    <t>Electrification, renewable-energy use, policy alignment and strategic fit.</t>
  </si>
  <si>
    <t>West-Zeeuws-Vlaanderen|Battery + EMS</t>
  </si>
  <si>
    <t>West-Zeeuws-Vlaanderen|Group Transport Agreement</t>
  </si>
  <si>
    <t>Weight validation</t>
  </si>
  <si>
    <t>West-Zeeuws-Vlaanderen|No additional intervention</t>
  </si>
  <si>
    <t>Anonymised case indicators — load values expressed only as percentages</t>
  </si>
  <si>
    <t>Selected-case adjustment summaries</t>
  </si>
  <si>
    <t>Public village label</t>
  </si>
  <si>
    <t>Data coverage</t>
  </si>
  <si>
    <t>Threshold result</t>
  </si>
  <si>
    <t>Public grid summary</t>
  </si>
  <si>
    <t>Interview synthesis</t>
  </si>
  <si>
    <t>Public-data note</t>
  </si>
  <si>
    <t>Public adjustment summary</t>
  </si>
  <si>
    <t>Village 1</t>
  </si>
  <si>
    <t>Forecast percentage</t>
  </si>
  <si>
    <t>Neither flexibility solution clears the 90% threshold</t>
  </si>
  <si>
    <t>The main distribution station is forecast to exceed the threshold before planned reinforcement. Both flexibility solutions reduce stress, but neither removes the exceedance; reinforcement therefore remains necessary.</t>
  </si>
  <si>
    <t>Interview synthesis indicates that existing regional cooperation may lower the coordination burden for a collective agreement, while companies continue to value autonomy and options that can be implemented quickly.</t>
  </si>
  <si>
    <t>All load and capacity indicators are normalised percentages. Absolute electrical values, station identifiers and exact project inputs have been removed.</t>
  </si>
  <si>
    <t>Base score unchanged for this criterion.</t>
  </si>
  <si>
    <t>Schouwen-Duiveland|Grid-operator life-cycle cost and investment effect</t>
  </si>
  <si>
    <t>Village 2</t>
  </si>
  <si>
    <t>Measured percentage test</t>
  </si>
  <si>
    <t>Both flexibility solutions clear the 90% threshold in the measured test</t>
  </si>
  <si>
    <t>Short peaks at the main distribution station are reduced below the threshold by both flexibility solutions. The margins are narrow, and performance over the full period remains uncertain without a forward series.</t>
  </si>
  <si>
    <t>Interview synthesis indicates that battery and EMS operation is already established at several companies. Collective initiatives are less mature and place more coordination responsibility on participating companies.</t>
  </si>
  <si>
    <t>Reinforcement follows a short bridge period while the binding-component stress exceeds the 90% threshold.</t>
  </si>
  <si>
    <t>Schouwen-Duiveland|Timing, duration, reliability and predictability</t>
  </si>
  <si>
    <t>Village 3</t>
  </si>
  <si>
    <t>Both flexibility solutions clear the 90% threshold initially; future coverage is uncertain</t>
  </si>
  <si>
    <t>The main distribution station marginally exceeds the threshold in the measured profile. Both flexibility solutions clear the threshold initially, but the longer-term result and the link to reinforcement remain uncertain.</t>
  </si>
  <si>
    <t>Interview synthesis indicates that batteries are under consideration, whereas central company decision structures and limited collective governance increase the coordination burden for a Group Transport Agreement.</t>
  </si>
  <si>
    <t>No relief is provided during the bridge period; the baseline ATC stress remains 97.0%.</t>
  </si>
  <si>
    <t>Schouwen-Duiveland|Speed and effect on reinforcement bridge gap</t>
  </si>
  <si>
    <t>Regional energy cooperation is developing, which improves the relative readiness of a collective arrangement.</t>
  </si>
  <si>
    <t>Schouwen-Duiveland|Technical and operational readiness</t>
  </si>
  <si>
    <t>Case-specific regional adjustments and transparent score calculation</t>
  </si>
  <si>
    <t>Schouwen-Duiveland|Legal, contractual and policy embeddedness</t>
  </si>
  <si>
    <t>Regional adjustment</t>
  </si>
  <si>
    <t>Public evidence</t>
  </si>
  <si>
    <t>Evidence type</t>
  </si>
  <si>
    <t>Calculation key</t>
  </si>
  <si>
    <t>Base score</t>
  </si>
  <si>
    <t>Adjusted score</t>
  </si>
  <si>
    <t>Weighted contribution</t>
  </si>
  <si>
    <t>Schouwen-Duiveland|Financial attractiveness</t>
  </si>
  <si>
    <t>Base score unchanged for this case.</t>
  </si>
  <si>
    <t>Base TAPIR assessment</t>
  </si>
  <si>
    <t>Schouwen-Duiveland|Grid operator|Grid-operator life-cycle cost and investment effect|Conventional grid reinforcement</t>
  </si>
  <si>
    <t>Schouwen-Duiveland|Implementation speed and urgency fit</t>
  </si>
  <si>
    <t>Schouwen-Duiveland|Grid operator|Grid-operator life-cycle cost and investment effect|Battery + EMS</t>
  </si>
  <si>
    <t>Regional groups and municipal facilitation can reduce the coordination burden.</t>
  </si>
  <si>
    <t>Schouwen-Duiveland|Knowledge and organisational burden</t>
  </si>
  <si>
    <t>Schouwen-Duiveland|Grid operator|Grid-operator life-cycle cost and investment effect|Group Transport Agreement</t>
  </si>
  <si>
    <t>Existing cooperation reduces the dependency objection identified by participating companies.</t>
  </si>
  <si>
    <t>Schouwen-Duiveland|Autonomy and dependency</t>
  </si>
  <si>
    <t>Schouwen-Duiveland|Grid operator|Grid-operator life-cycle cost and investment effect|No additional intervention</t>
  </si>
  <si>
    <t>Schouwen-Duiveland|Sustainability, image and strategic risk</t>
  </si>
  <si>
    <t>Schouwen-Duiveland|Grid operator|Timing, duration, reliability and predictability|Conventional grid reinforcement</t>
  </si>
  <si>
    <t>The measured ATC stress decreases from 94.8% to 88.3%, below the 90% threshold. | The measured ATC stress decreases from 94.8% to 89.1%, below the 90% threshold.</t>
  </si>
  <si>
    <t>Walcheren|Grid-operator life-cycle cost and investment effect</t>
  </si>
  <si>
    <t>Schouwen-Duiveland|Grid operator|Timing, duration, reliability and predictability|Battery + EMS</t>
  </si>
  <si>
    <t>The component is already constrained and reinforcement follows only after a bridge period. | The measured exceedance consists of short episodes, improving the fit of targeted storage dispatch. | Collective initiatives are at an early stage and are primarily focused on knowledge exchange.</t>
  </si>
  <si>
    <t>Walcheren|Timing, duration, reliability and predictability</t>
  </si>
  <si>
    <t>Schouwen-Duiveland|Grid operator|Timing, duration, reliability and predictability|Group Transport Agreement</t>
  </si>
  <si>
    <t>The battery test clears the 90% threshold during the available bridge period. | No intervention leaves the measured ATC stress at 94.8% throughout the bridge period.</t>
  </si>
  <si>
    <t>Walcheren|Speed and effect on reinforcement bridge gap</t>
  </si>
  <si>
    <t>Schouwen-Duiveland|Grid operator|Timing, duration, reliability and predictability|No additional intervention</t>
  </si>
  <si>
    <t>Several companies already operate batteries with an Energy Management System.</t>
  </si>
  <si>
    <t>Walcheren|Technical and operational readiness</t>
  </si>
  <si>
    <t>Schouwen-Duiveland|Grid operator|Speed and effect on reinforcement bridge gap|Conventional grid reinforcement</t>
  </si>
  <si>
    <t>Walcheren|Legal, contractual and policy embeddedness</t>
  </si>
  <si>
    <t>Schouwen-Duiveland|Grid operator|Speed and effect on reinforcement bridge gap|Battery + EMS</t>
  </si>
  <si>
    <t>Companies view the option more favourably where it is cost-neutral and delivers usable connection capacity. | The arrangement can reduce stress without requiring company-owned grid infrastructure.</t>
  </si>
  <si>
    <t>Walcheren|Financial attractiveness</t>
  </si>
  <si>
    <t>Schouwen-Duiveland|Grid operator|Speed and effect on reinforcement bridge gap|Group Transport Agreement</t>
  </si>
  <si>
    <t>The solution can be implemented within the bridge period.</t>
  </si>
  <si>
    <t>Walcheren|Implementation speed and urgency fit</t>
  </si>
  <si>
    <t>Schouwen-Duiveland|Grid operator|Speed and effect on reinforcement bridge gap|No additional intervention</t>
  </si>
  <si>
    <t>Battery and EMS operation is already established locally. | Collective implementation is company-led, placing coordination work on participating companies.</t>
  </si>
  <si>
    <t>Walcheren|Knowledge and organisational burden</t>
  </si>
  <si>
    <t>Schouwen-Duiveland|Grid operator|Technical and operational readiness|Conventional grid reinforcement</t>
  </si>
  <si>
    <t>Walcheren|Autonomy and dependency</t>
  </si>
  <si>
    <t>Schouwen-Duiveland|Grid operator|Technical and operational readiness|Battery + EMS</t>
  </si>
  <si>
    <t>Walcheren|Sustainability, image and strategic risk</t>
  </si>
  <si>
    <t>Schouwen-Duiveland|Grid operator|Technical and operational readiness|Group Transport Agreement</t>
  </si>
  <si>
    <t>The measured ATC stress decreases from 90.6% to 86.1%, below the 90% threshold. | The measured ATC stress decreases from 90.6% to 85.8%, below the 90% threshold.</t>
  </si>
  <si>
    <t>West-Zeeuws-Vlaanderen|Grid-operator life-cycle cost and investment effect</t>
  </si>
  <si>
    <t>Schouwen-Duiveland|Grid operator|Technical and operational readiness|No additional intervention</t>
  </si>
  <si>
    <t>The available intervention information is not attributable to the analysed component. | No operating collective arrangement is present and collective maturity is low.</t>
  </si>
  <si>
    <t>West-Zeeuws-Vlaanderen|Timing, duration, reliability and predictability</t>
  </si>
  <si>
    <t>Schouwen-Duiveland|Grid operator|Legal, contractual and policy embeddedness|Conventional grid reinforcement</t>
  </si>
  <si>
    <t>The measured test clears the threshold with a 3.9-percentage-point margin. | No intervention provides no relief while future coverage remains unresolved.</t>
  </si>
  <si>
    <t>West-Zeeuws-Vlaanderen|Speed and effect on reinforcement bridge gap</t>
  </si>
  <si>
    <t>Schouwen-Duiveland|Grid operator|Legal, contractual and policy embeddedness|Battery + EMS</t>
  </si>
  <si>
    <t>No operating collective flexibility arrangement is present in the case.</t>
  </si>
  <si>
    <t>West-Zeeuws-Vlaanderen|Technical and operational readiness</t>
  </si>
  <si>
    <t>Schouwen-Duiveland|Grid operator|Legal, contractual and policy embeddedness|Group Transport Agreement</t>
  </si>
  <si>
    <t>West-Zeeuws-Vlaanderen|Legal, contractual and policy embeddedness</t>
  </si>
  <si>
    <t>Schouwen-Duiveland|Grid operator|Legal, contractual and policy embeddedness|No additional intervention</t>
  </si>
  <si>
    <t>Batteries are already under consideration by companies in the case. | The arrangement can reduce stress without requiring company-owned grid infrastructure.</t>
  </si>
  <si>
    <t>West-Zeeuws-Vlaanderen|Financial attractiveness</t>
  </si>
  <si>
    <t>Schouwen-Duiveland|Company|Financial attractiveness|Conventional grid reinforcement</t>
  </si>
  <si>
    <t>The solution can be available before the unresolved reinforcement endpoint.</t>
  </si>
  <si>
    <t>West-Zeeuws-Vlaanderen|Implementation speed and urgency fit</t>
  </si>
  <si>
    <t>Schouwen-Duiveland|Company|Financial attractiveness|Battery + EMS</t>
  </si>
  <si>
    <t>New cooperation and governance would need to be created.</t>
  </si>
  <si>
    <t>West-Zeeuws-Vlaanderen|Knowledge and organisational burden</t>
  </si>
  <si>
    <t>Schouwen-Duiveland|Company|Financial attractiveness|Group Transport Agreement</t>
  </si>
  <si>
    <t>Central company decision structures increase dependency in a collective arrangement.</t>
  </si>
  <si>
    <t>West-Zeeuws-Vlaanderen|Autonomy and dependency</t>
  </si>
  <si>
    <t>Schouwen-Duiveland|Company|Financial attractiveness|No additional intervention</t>
  </si>
  <si>
    <t>West-Zeeuws-Vlaanderen|Sustainability, image and strategic risk</t>
  </si>
  <si>
    <t>Schouwen-Duiveland|Company|Implementation speed and urgency fit|Conventional grid reinforcement</t>
  </si>
  <si>
    <t>Schouwen-Duiveland|Company|Implementation speed and urgency fit|Battery + EMS</t>
  </si>
  <si>
    <t>Schouwen-Duiveland|Company|Implementation speed and urgency fit|Group Transport Agreement</t>
  </si>
  <si>
    <t>Scoring rules</t>
  </si>
  <si>
    <t>Schouwen-Duiveland|Company|Implementation speed and urgency fit|No additional intervention</t>
  </si>
  <si>
    <t>Regional adjustment: −0.5, 0 or +0.5; editable in yellow cells.</t>
  </si>
  <si>
    <t>Schouwen-Duiveland|Company|Knowledge and organisational burden|Conventional grid reinforcement</t>
  </si>
  <si>
    <t>Adjusted score: MAX(1, MIN(5, base score + regional adjustment)).</t>
  </si>
  <si>
    <t>Schouwen-Duiveland|Company|Knowledge and organisational burden|Battery + EMS</t>
  </si>
  <si>
    <t>Actor score: weighted average of the five actor-specific criteria.</t>
  </si>
  <si>
    <t>Schouwen-Duiveland|Company|Knowledge and organisational burden|Group Transport Agreement</t>
  </si>
  <si>
    <t>Overall score: equal average of the grid-operator and company scores.</t>
  </si>
  <si>
    <t>Schouwen-Duiveland|Company|Knowledge and organisational burden|No additional intervention</t>
  </si>
  <si>
    <t>Response options are the umbrella decision set; battery + EMS and the Group Transport Agreement are the flexibility-solution subset.</t>
  </si>
  <si>
    <t>Schouwen-Duiveland|Company|Autonomy and dependency|Conventional grid reinforcement</t>
  </si>
  <si>
    <t>Schouwen-Duiveland|Company|Autonomy and dependency|Battery + EMS</t>
  </si>
  <si>
    <t>Schouwen-Duiveland|Company|Autonomy and dependency|Group Transport Agreement</t>
  </si>
  <si>
    <t>Schouwen-Duiveland|Company|Autonomy and dependency|No additional intervention</t>
  </si>
  <si>
    <t>Schouwen-Duiveland|Company|Sustainability, image and strategic risk|Conventional grid reinforcement</t>
  </si>
  <si>
    <t>Schouwen-Duiveland|Company|Sustainability, image and strategic risk|Battery + EMS</t>
  </si>
  <si>
    <t>Schouwen-Duiveland|Company|Sustainability, image and strategic risk|Group Transport Agreement</t>
  </si>
  <si>
    <t>Schouwen-Duiveland|Company|Sustainability, image and strategic risk|No additional intervention</t>
  </si>
  <si>
    <t>Walcheren|Grid operator|Grid-operator life-cycle cost and investment effect|Conventional grid reinforcement</t>
  </si>
  <si>
    <t>The measured ATC stress decreases from 94.8% to 88.3%, below the 90% threshold.</t>
  </si>
  <si>
    <t>Walcheren|Grid operator|Grid-operator life-cycle cost and investment effect|Battery + EMS</t>
  </si>
  <si>
    <t>The measured ATC stress decreases from 94.8% to 89.1%, below the 90% threshold.</t>
  </si>
  <si>
    <t>Walcheren|Grid operator|Grid-operator life-cycle cost and investment effect|Group Transport Agreement</t>
  </si>
  <si>
    <t>Walcheren|Grid operator|Grid-operator life-cycle cost and investment effect|No additional intervention</t>
  </si>
  <si>
    <t>The component is already constrained and reinforcement follows only after a bridge period.</t>
  </si>
  <si>
    <t>Public timing summary</t>
  </si>
  <si>
    <t>Walcheren|Grid operator|Timing, duration, reliability and predictability|Conventional grid reinforcement</t>
  </si>
  <si>
    <t>The measured exceedance consists of short episodes, improving the fit of targeted storage dispatch.</t>
  </si>
  <si>
    <t>Walcheren|Grid operator|Timing, duration, reliability and predictability|Battery + EMS</t>
  </si>
  <si>
    <t>Collective initiatives are at an early stage and are primarily focused on knowledge exchange.</t>
  </si>
  <si>
    <t>Walcheren|Grid operator|Timing, duration, reliability and predictability|Group Transport Agreement</t>
  </si>
  <si>
    <t>Walcheren|Grid operator|Timing, duration, reliability and predictability|No additional intervention</t>
  </si>
  <si>
    <t>Walcheren|Grid operator|Speed and effect on reinforcement bridge gap|Conventional grid reinforcement</t>
  </si>
  <si>
    <t>The battery test clears the 90% threshold during the available bridge period.</t>
  </si>
  <si>
    <t>Walcheren|Grid operator|Speed and effect on reinforcement bridge gap|Battery + EMS</t>
  </si>
  <si>
    <t>Walcheren|Grid operator|Speed and effect on reinforcement bridge gap|Group Transport Agreement</t>
  </si>
  <si>
    <t>No intervention leaves the measured ATC stress at 94.8% throughout the bridge period.</t>
  </si>
  <si>
    <t>Walcheren|Grid operator|Speed and effect on reinforcement bridge gap|No additional intervention</t>
  </si>
  <si>
    <t>Walcheren|Grid operator|Technical and operational readiness|Conventional grid reinforcement</t>
  </si>
  <si>
    <t>Walcheren|Grid operator|Technical and operational readiness|Battery + EMS</t>
  </si>
  <si>
    <t>Walcheren|Grid operator|Technical and operational readiness|Group Transport Agreement</t>
  </si>
  <si>
    <t>Walcheren|Grid operator|Technical and operational readiness|No additional intervention</t>
  </si>
  <si>
    <t>Walcheren|Grid operator|Legal, contractual and policy embeddedness|Conventional grid reinforcement</t>
  </si>
  <si>
    <t>Walcheren|Grid operator|Legal, contractual and policy embeddedness|Battery + EMS</t>
  </si>
  <si>
    <t>Walcheren|Grid operator|Legal, contractual and policy embeddedness|Group Transport Agreement</t>
  </si>
  <si>
    <t>Walcheren|Grid operator|Legal, contractual and policy embeddedness|No additional intervention</t>
  </si>
  <si>
    <t>Walcheren|Company|Financial attractiveness|Conventional grid reinforcement</t>
  </si>
  <si>
    <t>Companies view the option more favourably where it is cost-neutral and delivers usable connection capacity.</t>
  </si>
  <si>
    <t>Walcheren|Company|Financial attractiveness|Battery + EMS</t>
  </si>
  <si>
    <t>The arrangement can reduce stress without requiring company-owned grid infrastructure.</t>
  </si>
  <si>
    <t>Interview synthesis + percentage assessment</t>
  </si>
  <si>
    <t>Walcheren|Company|Financial attractiveness|Group Transport Agreement</t>
  </si>
  <si>
    <t>Walcheren|Company|Financial attractiveness|No additional intervention</t>
  </si>
  <si>
    <t>Walcheren|Company|Implementation speed and urgency fit|Conventional grid reinforcement</t>
  </si>
  <si>
    <t>Walcheren|Company|Implementation speed and urgency fit|Battery + EMS</t>
  </si>
  <si>
    <t>Walcheren|Company|Implementation speed and urgency fit|Group Transport Agreement</t>
  </si>
  <si>
    <t>Walcheren|Company|Implementation speed and urgency fit|No additional intervention</t>
  </si>
  <si>
    <t>Walcheren|Company|Knowledge and organisational burden|Conventional grid reinforcement</t>
  </si>
  <si>
    <t>Battery and EMS operation is already established locally.</t>
  </si>
  <si>
    <t>Walcheren|Company|Knowledge and organisational burden|Battery + EMS</t>
  </si>
  <si>
    <t>Collective implementation is company-led, placing coordination work on participating companies.</t>
  </si>
  <si>
    <t>Walcheren|Company|Knowledge and organisational burden|Group Transport Agreement</t>
  </si>
  <si>
    <t>Walcheren|Company|Knowledge and organisational burden|No additional intervention</t>
  </si>
  <si>
    <t>Walcheren|Company|Autonomy and dependency|Conventional grid reinforcement</t>
  </si>
  <si>
    <t>Walcheren|Company|Autonomy and dependency|Battery + EMS</t>
  </si>
  <si>
    <t>Walcheren|Company|Autonomy and dependency|Group Transport Agreement</t>
  </si>
  <si>
    <t>Walcheren|Company|Autonomy and dependency|No additional intervention</t>
  </si>
  <si>
    <t>Walcheren|Company|Sustainability, image and strategic risk|Conventional grid reinforcement</t>
  </si>
  <si>
    <t>Walcheren|Company|Sustainability, image and strategic risk|Battery + EMS</t>
  </si>
  <si>
    <t>Walcheren|Company|Sustainability, image and strategic risk|Group Transport Agreement</t>
  </si>
  <si>
    <t>Walcheren|Company|Sustainability, image and strategic risk|No additional intervention</t>
  </si>
  <si>
    <t>West-Zeeuws-Vlaanderen|Grid operator|Grid-operator life-cycle cost and investment effect|Conventional grid reinforcement</t>
  </si>
  <si>
    <t>The measured ATC stress decreases from 90.6% to 86.1%, below the 90% threshold.</t>
  </si>
  <si>
    <t>West-Zeeuws-Vlaanderen|Grid operator|Grid-operator life-cycle cost and investment effect|Battery + EMS</t>
  </si>
  <si>
    <t>The measured ATC stress decreases from 90.6% to 85.8%, below the 90% threshold.</t>
  </si>
  <si>
    <t>West-Zeeuws-Vlaanderen|Grid operator|Grid-operator life-cycle cost and investment effect|Group Transport Agreement</t>
  </si>
  <si>
    <t>West-Zeeuws-Vlaanderen|Grid operator|Grid-operator life-cycle cost and investment effect|No additional intervention</t>
  </si>
  <si>
    <t>The available intervention information is not attributable to the analysed component.</t>
  </si>
  <si>
    <t>Public uncertainty summary</t>
  </si>
  <si>
    <t>West-Zeeuws-Vlaanderen|Grid operator|Timing, duration, reliability and predictability|Conventional grid reinforcement</t>
  </si>
  <si>
    <t>West-Zeeuws-Vlaanderen|Grid operator|Timing, duration, reliability and predictability|Battery + EMS</t>
  </si>
  <si>
    <t>No operating collective arrangement is present and collective maturity is low.</t>
  </si>
  <si>
    <t>West-Zeeuws-Vlaanderen|Grid operator|Timing, duration, reliability and predictability|Group Transport Agreement</t>
  </si>
  <si>
    <t>West-Zeeuws-Vlaanderen|Grid operator|Timing, duration, reliability and predictability|No additional intervention</t>
  </si>
  <si>
    <t>West-Zeeuws-Vlaanderen|Grid operator|Speed and effect on reinforcement bridge gap|Conventional grid reinforcement</t>
  </si>
  <si>
    <t>The measured test clears the threshold with a 3.9-percentage-point margin.</t>
  </si>
  <si>
    <t>West-Zeeuws-Vlaanderen|Grid operator|Speed and effect on reinforcement bridge gap|Battery + EMS</t>
  </si>
  <si>
    <t>West-Zeeuws-Vlaanderen|Grid operator|Speed and effect on reinforcement bridge gap|Group Transport Agreement</t>
  </si>
  <si>
    <t>No intervention provides no relief while future coverage remains unresolved.</t>
  </si>
  <si>
    <t>West-Zeeuws-Vlaanderen|Grid operator|Speed and effect on reinforcement bridge gap|No additional intervention</t>
  </si>
  <si>
    <t>West-Zeeuws-Vlaanderen|Grid operator|Technical and operational readiness|Conventional grid reinforcement</t>
  </si>
  <si>
    <t>West-Zeeuws-Vlaanderen|Grid operator|Technical and operational readiness|Battery + EMS</t>
  </si>
  <si>
    <t>West-Zeeuws-Vlaanderen|Grid operator|Technical and operational readiness|Group Transport Agreement</t>
  </si>
  <si>
    <t>West-Zeeuws-Vlaanderen|Grid operator|Technical and operational readiness|No additional intervention</t>
  </si>
  <si>
    <t>West-Zeeuws-Vlaanderen|Grid operator|Legal, contractual and policy embeddedness|Conventional grid reinforcement</t>
  </si>
  <si>
    <t>West-Zeeuws-Vlaanderen|Grid operator|Legal, contractual and policy embeddedness|Battery + EMS</t>
  </si>
  <si>
    <t>West-Zeeuws-Vlaanderen|Grid operator|Legal, contractual and policy embeddedness|Group Transport Agreement</t>
  </si>
  <si>
    <t>West-Zeeuws-Vlaanderen|Grid operator|Legal, contractual and policy embeddedness|No additional intervention</t>
  </si>
  <si>
    <t>West-Zeeuws-Vlaanderen|Company|Financial attractiveness|Conventional grid reinforcement</t>
  </si>
  <si>
    <t>Batteries are already under consideration by companies in the case.</t>
  </si>
  <si>
    <t>West-Zeeuws-Vlaanderen|Company|Financial attractiveness|Battery + EMS</t>
  </si>
  <si>
    <t>West-Zeeuws-Vlaanderen|Company|Financial attractiveness|Group Transport Agreement</t>
  </si>
  <si>
    <t>West-Zeeuws-Vlaanderen|Company|Financial attractiveness|No additional intervention</t>
  </si>
  <si>
    <t>West-Zeeuws-Vlaanderen|Company|Implementation speed and urgency fit|Conventional grid reinforcement</t>
  </si>
  <si>
    <t>West-Zeeuws-Vlaanderen|Company|Implementation speed and urgency fit|Battery + EMS</t>
  </si>
  <si>
    <t>West-Zeeuws-Vlaanderen|Company|Implementation speed and urgency fit|Group Transport Agreement</t>
  </si>
  <si>
    <t>West-Zeeuws-Vlaanderen|Company|Implementation speed and urgency fit|No additional intervention</t>
  </si>
  <si>
    <t>West-Zeeuws-Vlaanderen|Company|Knowledge and organisational burden|Conventional grid reinforcement</t>
  </si>
  <si>
    <t>West-Zeeuws-Vlaanderen|Company|Knowledge and organisational burden|Battery + EMS</t>
  </si>
  <si>
    <t>West-Zeeuws-Vlaanderen|Company|Knowledge and organisational burden|Group Transport Agreement</t>
  </si>
  <si>
    <t>West-Zeeuws-Vlaanderen|Company|Knowledge and organisational burden|No additional intervention</t>
  </si>
  <si>
    <t>West-Zeeuws-Vlaanderen|Company|Autonomy and dependency|Conventional grid reinforcement</t>
  </si>
  <si>
    <t>West-Zeeuws-Vlaanderen|Company|Autonomy and dependency|Battery + EMS</t>
  </si>
  <si>
    <t>West-Zeeuws-Vlaanderen|Company|Autonomy and dependency|Group Transport Agreement</t>
  </si>
  <si>
    <t>West-Zeeuws-Vlaanderen|Company|Autonomy and dependency|No additional intervention</t>
  </si>
  <si>
    <t>West-Zeeuws-Vlaanderen|Company|Sustainability, image and strategic risk|Conventional grid reinforcement</t>
  </si>
  <si>
    <t>West-Zeeuws-Vlaanderen|Company|Sustainability, image and strategic risk|Battery + EMS</t>
  </si>
  <si>
    <t>West-Zeeuws-Vlaanderen|Company|Sustainability, image and strategic risk|Group Transport Agreement</t>
  </si>
  <si>
    <t>West-Zeeuws-Vlaanderen|Company|Sustainability, image and strategic risk|No additional intervention</t>
  </si>
  <si>
    <t>Read Me — Public TAPIR Decision-Support Tool</t>
  </si>
  <si>
    <t>This clean public workbook preserves the decision-support logic while removing confidential grid-operator asset and load information.</t>
  </si>
  <si>
    <t>How to use</t>
  </si>
  <si>
    <t>1. Open the Public Tool sheet and select one of the three case regions in the yellow case selector.</t>
  </si>
  <si>
    <t>2. Review the four response-option scores, the percentage-based grid assessment and the case-specific evidence.</t>
  </si>
  <si>
    <t>3. If sensitivity testing is required, edit only the yellow weight, base-score and regional-adjustment cells on Public Inputs.</t>
  </si>
  <si>
    <t>Terminology used</t>
  </si>
  <si>
    <t>Response option is the umbrella term for the alternatives assessed by the tool: conventional grid reinforcement, battery + EMS, Group Transport Agreement and no additional intervention.</t>
  </si>
  <si>
    <t>Flexibility solutions are the response-option subset that uses demand, generation or storage flexibility within available grid capacity: battery + EMS and the Group Transport Agreement.</t>
  </si>
  <si>
    <t>Grid reinforcement is not a flexibility solution. No additional intervention is the reference response option.</t>
  </si>
  <si>
    <t>Public anonymisation applied</t>
  </si>
  <si>
    <t>The three village names have been replaced by the non-identifying labels Village 1, Village 2 and Village 3.</t>
  </si>
  <si>
    <t>All station names, abbreviations, codes, addresses and connected-asset identifiers have been removed and replaced by generic grid-component descriptions.</t>
  </si>
  <si>
    <t>All absolute load, energy, capacity and relief values have been removed. The retained grid indicators are percentages of available transport capacity (ATC).</t>
  </si>
  <si>
    <t>Exact reinforcement costs, capacities and dates, internal source filenames and recoverable raw-data tables have been removed.</t>
  </si>
  <si>
    <t>The workbook has no hidden worksheets, external links, charts linked to confidential data or embedded source files.</t>
  </si>
  <si>
    <t>Evidence retained</t>
  </si>
  <si>
    <t>General case findings from the thesis and interviews are retained where they explain maturity, coordination, authority, organisational burden and company preferences.</t>
  </si>
  <si>
    <t>Grid evidence is retained only in normalised percentage form and is labelled as measured, forecast or uncertain.</t>
  </si>
  <si>
    <t>No new interview evidence or literature has been introduced.</t>
  </si>
  <si>
    <t>Limitations</t>
  </si>
  <si>
    <t>The public percentages support comparison but cannot reproduce the grid operator's internal calculations because the absolute source data have deliberately been removed.</t>
  </si>
  <si>
    <t>A preferred response option is a decision-support result, not an automatic investment decision. Local engineering validation, legal assessment and actor agreement remain necessary.</t>
  </si>
  <si>
    <t>Flexibility may complement reinforcement or bridge a period until reinforcement is completed; it is not presumed to substitute for physical capacity expansion.</t>
  </si>
  <si>
    <t>Source basis: thesis Chapters 5–8, thesis case documents and the interview evidence already used in the thesis. Public release prepared without absolute grid-operator load or asset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</si>
</sst>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\+0.0;\-0.0;0.0"/>
    <numFmt numFmtId="167" formatCode="0.000"/>
    <numFmt numFmtId="168" formatCode="0.00\ &quot;/ 5&quot;"/>
  </numFmts>
  <fonts count="20">
    <font>
      <sz val="11"/>
      <name val="Carlito"/>
    </font>
    <font>
      <b/>
      <sz val="18"/>
      <color rgb="FFFFFFFF"/>
      <name val="Carlito"/>
    </font>
    <font>
      <i/>
      <sz val="11"/>
      <color rgb="FF173A56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11"/>
      <color rgb="FF263746"/>
      <name val="Carlito"/>
    </font>
    <font>
      <i/>
      <sz val="12"/>
      <color rgb="FF173A56"/>
      <name val="Carlito"/>
    </font>
    <font>
      <b/>
      <sz val="16"/>
      <color rgb="FF2F8A5B"/>
      <name val="Carlito"/>
    </font>
    <font>
      <b/>
      <sz val="11"/>
      <color rgb="FF263746"/>
      <name val="Carlito"/>
    </font>
    <font>
      <b/>
      <sz val="14"/>
      <color rgb="FF173A56"/>
      <name val="Carlito"/>
    </font>
    <font>
      <sz val="11"/>
      <color rgb="FF263746"/>
      <name val="Calibri"/>
      <family val="2"/>
    </font>
    <font>
      <sz val="12"/>
      <color rgb="FF263746"/>
      <name val="Calibri"/>
      <family val="2"/>
    </font>
    <font>
      <b/>
      <sz val="14"/>
      <color rgb="FFFFFFFF"/>
      <name val="Carlito"/>
    </font>
    <font>
      <sz val="14"/>
      <name val="Carlito"/>
    </font>
    <font>
      <b/>
      <sz val="14"/>
      <color rgb="FF263746"/>
      <name val="Carlito"/>
    </font>
    <font>
      <b/>
      <sz val="16"/>
      <color rgb="FFFFFFFF"/>
      <name val="Carlito"/>
    </font>
    <font>
      <sz val="11"/>
      <name val="Calibri"/>
      <family val="2"/>
    </font>
    <font>
      <sz val="12"/>
      <name val="Calibri"/>
      <family val="2"/>
    </font>
    <font>
      <i/>
      <sz val="11"/>
      <color rgb="FF173A56"/>
      <name val="Calibri"/>
      <family val="2"/>
    </font>
    <font>
      <b/>
      <sz val="12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73A56"/>
      </patternFill>
    </fill>
    <fill>
      <patternFill patternType="solid">
        <fgColor rgb="FFE7F2F7"/>
      </patternFill>
    </fill>
    <fill>
      <patternFill patternType="solid">
        <fgColor rgb="FF2F8A5B"/>
      </patternFill>
    </fill>
    <fill>
      <patternFill patternType="solid">
        <fgColor rgb="FF244F6B"/>
      </patternFill>
    </fill>
    <fill>
      <patternFill patternType="solid">
        <fgColor rgb="FFFFF9E6"/>
      </patternFill>
    </fill>
    <fill>
      <patternFill patternType="solid">
        <fgColor rgb="FFFFF2CC"/>
      </patternFill>
    </fill>
    <fill>
      <patternFill patternType="solid">
        <fgColor rgb="FFEEF2F5"/>
      </patternFill>
    </fill>
    <fill>
      <patternFill patternType="solid">
        <fgColor rgb="FF2E879C"/>
      </patternFill>
    </fill>
    <fill>
      <patternFill patternType="solid">
        <fgColor rgb="FFD97706"/>
      </patternFill>
    </fill>
    <fill>
      <patternFill patternType="solid">
        <fgColor rgb="FFE6F3E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2F8A5B"/>
      </left>
      <right style="thin">
        <color rgb="FF2F8A5B"/>
      </right>
      <top style="thin">
        <color rgb="FF2F8A5B"/>
      </top>
      <bottom style="thin">
        <color rgb="FF2F8A5B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4" fillId="5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center" wrapText="1"/>
    </xf>
    <xf numFmtId="168" fontId="11" fillId="0" borderId="1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6" fillId="0" borderId="0" xfId="0" applyFont="1"/>
    <xf numFmtId="0" fontId="11" fillId="3" borderId="1" xfId="0" applyFont="1" applyFill="1" applyBorder="1" applyAlignment="1">
      <alignment vertical="top" wrapText="1"/>
    </xf>
    <xf numFmtId="9" fontId="11" fillId="3" borderId="1" xfId="0" applyNumberFormat="1" applyFont="1" applyFill="1" applyBorder="1" applyAlignment="1">
      <alignment vertical="top" wrapText="1"/>
    </xf>
    <xf numFmtId="0" fontId="17" fillId="0" borderId="0" xfId="0" applyFont="1"/>
    <xf numFmtId="0" fontId="11" fillId="6" borderId="1" xfId="0" applyFont="1" applyFill="1" applyBorder="1" applyAlignment="1">
      <alignment vertical="top" wrapText="1"/>
    </xf>
    <xf numFmtId="9" fontId="11" fillId="6" borderId="1" xfId="0" applyNumberFormat="1" applyFont="1" applyFill="1" applyBorder="1" applyAlignment="1">
      <alignment vertical="top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9" fontId="10" fillId="7" borderId="1" xfId="0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9" fontId="10" fillId="8" borderId="1" xfId="0" applyNumberFormat="1" applyFont="1" applyFill="1" applyBorder="1" applyAlignment="1">
      <alignment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164" fontId="10" fillId="0" borderId="1" xfId="0" applyNumberFormat="1" applyFont="1" applyBorder="1" applyAlignment="1">
      <alignment vertical="center" wrapText="1"/>
    </xf>
    <xf numFmtId="9" fontId="10" fillId="0" borderId="1" xfId="0" applyNumberFormat="1" applyFont="1" applyBorder="1" applyAlignment="1">
      <alignment vertical="center" wrapText="1"/>
    </xf>
    <xf numFmtId="167" fontId="10" fillId="0" borderId="1" xfId="0" applyNumberFormat="1" applyFont="1" applyBorder="1" applyAlignment="1">
      <alignment vertical="center" wrapText="1"/>
    </xf>
    <xf numFmtId="166" fontId="10" fillId="7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/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165" fontId="9" fillId="12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10" fillId="12" borderId="1" xfId="0" applyNumberFormat="1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6" fillId="8" borderId="0" xfId="0" applyFont="1" applyFill="1" applyAlignment="1">
      <alignment vertical="center"/>
    </xf>
    <xf numFmtId="0" fontId="12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0" fillId="8" borderId="1" xfId="0" applyFont="1" applyFill="1" applyBorder="1" applyAlignment="1">
      <alignment vertical="center" wrapText="1"/>
    </xf>
    <xf numFmtId="0" fontId="18" fillId="3" borderId="0" xfId="0" applyFont="1" applyFill="1" applyAlignment="1">
      <alignment wrapText="1"/>
    </xf>
    <xf numFmtId="0" fontId="3" fillId="4" borderId="0" xfId="0" applyFont="1" applyFill="1" applyAlignment="1">
      <alignment horizontal="left" vertical="top"/>
    </xf>
    <xf numFmtId="0" fontId="19" fillId="9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165" fontId="11" fillId="3" borderId="3" xfId="0" applyNumberFormat="1" applyFont="1" applyFill="1" applyBorder="1" applyAlignment="1">
      <alignment horizontal="center" vertical="center" wrapText="1"/>
    </xf>
    <xf numFmtId="165" fontId="11" fillId="3" borderId="5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tabSelected="1" topLeftCell="A31" workbookViewId="0">
      <selection activeCell="D44" sqref="D44"/>
    </sheetView>
  </sheetViews>
  <sheetFormatPr baseColWidth="10" defaultColWidth="8.83203125" defaultRowHeight="14"/>
  <cols>
    <col min="1" max="1" width="18" customWidth="1"/>
    <col min="2" max="3" width="17" customWidth="1"/>
    <col min="4" max="4" width="12" customWidth="1"/>
    <col min="5" max="5" width="18" customWidth="1"/>
    <col min="6" max="9" width="14" customWidth="1"/>
    <col min="10" max="12" width="18" customWidth="1"/>
  </cols>
  <sheetData>
    <row r="1" spans="1:12" ht="32" customHeight="1">
      <c r="A1" s="57" t="s">
        <v>0</v>
      </c>
      <c r="B1" s="57" t="s">
        <v>0</v>
      </c>
      <c r="C1" s="57" t="s">
        <v>0</v>
      </c>
      <c r="D1" s="57" t="s">
        <v>0</v>
      </c>
      <c r="E1" s="57" t="s">
        <v>0</v>
      </c>
      <c r="F1" s="57" t="s">
        <v>0</v>
      </c>
      <c r="G1" s="57" t="s">
        <v>0</v>
      </c>
      <c r="H1" s="57" t="s">
        <v>0</v>
      </c>
      <c r="I1" s="57" t="s">
        <v>0</v>
      </c>
      <c r="J1" s="57" t="s">
        <v>0</v>
      </c>
      <c r="K1" s="57" t="s">
        <v>0</v>
      </c>
      <c r="L1" s="57" t="s">
        <v>0</v>
      </c>
    </row>
    <row r="2" spans="1:12" ht="28" customHeight="1">
      <c r="A2" s="58" t="s">
        <v>1</v>
      </c>
      <c r="B2" s="58" t="s">
        <v>1</v>
      </c>
      <c r="C2" s="58" t="s">
        <v>1</v>
      </c>
      <c r="D2" s="58" t="s">
        <v>1</v>
      </c>
      <c r="E2" s="58" t="s">
        <v>1</v>
      </c>
      <c r="F2" s="58" t="s">
        <v>1</v>
      </c>
      <c r="G2" s="58" t="s">
        <v>1</v>
      </c>
      <c r="H2" s="58" t="s">
        <v>1</v>
      </c>
      <c r="I2" s="58" t="s">
        <v>1</v>
      </c>
      <c r="J2" s="58" t="s">
        <v>1</v>
      </c>
      <c r="K2" s="58" t="s">
        <v>1</v>
      </c>
      <c r="L2" s="58" t="s">
        <v>1</v>
      </c>
    </row>
    <row r="3" spans="1:12" s="7" customFormat="1" ht="28" customHeight="1">
      <c r="A3" s="59" t="s">
        <v>2</v>
      </c>
      <c r="B3" s="59" t="s">
        <v>2</v>
      </c>
      <c r="C3" s="60" t="s">
        <v>3</v>
      </c>
      <c r="D3" s="60" t="s">
        <v>3</v>
      </c>
      <c r="E3" s="60" t="s">
        <v>3</v>
      </c>
      <c r="F3" s="60" t="s">
        <v>3</v>
      </c>
      <c r="G3" s="60" t="s">
        <v>3</v>
      </c>
      <c r="H3" s="60" t="s">
        <v>3</v>
      </c>
      <c r="I3" s="60" t="s">
        <v>3</v>
      </c>
      <c r="J3" s="60" t="s">
        <v>3</v>
      </c>
      <c r="K3" s="60" t="s">
        <v>3</v>
      </c>
      <c r="L3" s="60" t="s">
        <v>3</v>
      </c>
    </row>
    <row r="4" spans="1:12" s="7" customFormat="1" ht="21">
      <c r="A4" s="61" t="s">
        <v>4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H4" s="62" t="s">
        <v>5</v>
      </c>
      <c r="I4" s="62" t="s">
        <v>5</v>
      </c>
      <c r="J4" s="62" t="s">
        <v>5</v>
      </c>
      <c r="K4" s="62" t="s">
        <v>5</v>
      </c>
      <c r="L4" s="62" t="s">
        <v>5</v>
      </c>
    </row>
    <row r="5" spans="1:12" ht="40" customHeight="1">
      <c r="A5" s="55" t="s">
        <v>6</v>
      </c>
      <c r="B5" s="55"/>
      <c r="C5" s="55"/>
      <c r="D5" s="6" t="s">
        <v>7</v>
      </c>
      <c r="E5" s="6" t="s">
        <v>8</v>
      </c>
      <c r="F5" s="6" t="s">
        <v>9</v>
      </c>
      <c r="H5" s="48" t="str">
        <f>INDEX($A$6:$A$9,MATCH(MAX($F$6:$F$9),$F$6:$F$9,0))</f>
        <v>Battery + EMS</v>
      </c>
      <c r="I5" s="48"/>
      <c r="J5" s="48"/>
      <c r="K5" s="48"/>
      <c r="L5" s="48"/>
    </row>
    <row r="6" spans="1:12" ht="38" customHeight="1">
      <c r="A6" s="56" t="s">
        <v>10</v>
      </c>
      <c r="B6" s="56"/>
      <c r="C6" s="56"/>
      <c r="D6" s="5">
        <f>SUMIFS('Public Inputs'!$P$6:$P$17,'Public Inputs'!$N$6:$N$17,$C$3,'Public Inputs'!$O$6:$O$17,$A6)</f>
        <v>2.85</v>
      </c>
      <c r="E6" s="5">
        <f>SUMIFS('Public Inputs'!$Q$6:$Q$17,'Public Inputs'!$N$6:$N$17,$C$3,'Public Inputs'!$O$6:$O$17,$A6)</f>
        <v>2.5</v>
      </c>
      <c r="F6" s="5">
        <f>SUMIFS('Public Inputs'!$R$6:$R$17,'Public Inputs'!$N$6:$N$17,$C$3,'Public Inputs'!$O$6:$O$17,$A6)</f>
        <v>2.6749999999999998</v>
      </c>
      <c r="H6" s="48"/>
      <c r="I6" s="48"/>
      <c r="J6" s="48"/>
      <c r="K6" s="48"/>
      <c r="L6" s="48"/>
    </row>
    <row r="7" spans="1:12" ht="38" customHeight="1">
      <c r="A7" s="56" t="s">
        <v>11</v>
      </c>
      <c r="B7" s="56"/>
      <c r="C7" s="56"/>
      <c r="D7" s="5">
        <f>SUMIFS('Public Inputs'!$P$6:$P$17,'Public Inputs'!$N$6:$N$17,$C$3,'Public Inputs'!$O$6:$O$17,$A7)</f>
        <v>3.6500000000000004</v>
      </c>
      <c r="E7" s="5">
        <f>SUMIFS('Public Inputs'!$Q$6:$Q$17,'Public Inputs'!$N$6:$N$17,$C$3,'Public Inputs'!$O$6:$O$17,$A7)</f>
        <v>4.25</v>
      </c>
      <c r="F7" s="5">
        <f>SUMIFS('Public Inputs'!$R$6:$R$17,'Public Inputs'!$N$6:$N$17,$C$3,'Public Inputs'!$O$6:$O$17,$A7)</f>
        <v>3.95</v>
      </c>
      <c r="H7" s="49" t="str">
        <f>"Grid operator "&amp;TEXT(INDEX($D$6:$D$9,MATCH($H$5,$A$6:$A$9,0)),"0.00")&amp;" / 5   |   Company "&amp;TEXT(INDEX($E$6:$E$9,MATCH($H$5,$A$6:$A$9,0)),"0.00")&amp;" / 5   |   Overall "&amp;TEXT(INDEX($F$6:$F$9,MATCH($H$5,$A$6:$A$9,0)),"0.00")&amp;" / 5"</f>
        <v>Grid operator 004 / 5   |   Company 004 / 5   |   Overall 004 / 5</v>
      </c>
      <c r="I7" s="49"/>
      <c r="J7" s="49"/>
      <c r="K7" s="49"/>
      <c r="L7" s="49"/>
    </row>
    <row r="8" spans="1:12" ht="38" customHeight="1">
      <c r="A8" s="56" t="s">
        <v>12</v>
      </c>
      <c r="B8" s="56"/>
      <c r="C8" s="56"/>
      <c r="D8" s="5">
        <f>SUMIFS('Public Inputs'!$P$6:$P$17,'Public Inputs'!$N$6:$N$17,$C$3,'Public Inputs'!$O$6:$O$17,$A8)</f>
        <v>3.0750000000000002</v>
      </c>
      <c r="E8" s="5">
        <f>SUMIFS('Public Inputs'!$Q$6:$Q$17,'Public Inputs'!$N$6:$N$17,$C$3,'Public Inputs'!$O$6:$O$17,$A8)</f>
        <v>3.4249999999999998</v>
      </c>
      <c r="F8" s="5">
        <f>SUMIFS('Public Inputs'!$R$6:$R$17,'Public Inputs'!$N$6:$N$17,$C$3,'Public Inputs'!$O$6:$O$17,$A8)</f>
        <v>3.25</v>
      </c>
      <c r="H8" s="50" t="str">
        <f>INDEX('Public Inputs'!$K$22:$K$24,MATCH($C$3,'Public Inputs'!$A$22:$A$24,0))</f>
        <v>The main distribution station is forecast to exceed the threshold before planned reinforcement. Both flexibility solutions reduce stress, but neither removes the exceedance; reinforcement therefore remains necessary.</v>
      </c>
      <c r="I8" s="50"/>
      <c r="J8" s="50"/>
      <c r="K8" s="50"/>
      <c r="L8" s="50"/>
    </row>
    <row r="9" spans="1:12" ht="38" customHeight="1">
      <c r="A9" s="56" t="s">
        <v>13</v>
      </c>
      <c r="B9" s="56"/>
      <c r="C9" s="56"/>
      <c r="D9" s="5">
        <f>SUMIFS('Public Inputs'!$P$6:$P$17,'Public Inputs'!$N$6:$N$17,$C$3,'Public Inputs'!$O$6:$O$17,$A9)</f>
        <v>3.05</v>
      </c>
      <c r="E9" s="5">
        <f>SUMIFS('Public Inputs'!$Q$6:$Q$17,'Public Inputs'!$N$6:$N$17,$C$3,'Public Inputs'!$O$6:$O$17,$A9)</f>
        <v>2.6999999999999997</v>
      </c>
      <c r="F9" s="5">
        <f>SUMIFS('Public Inputs'!$R$6:$R$17,'Public Inputs'!$N$6:$N$17,$C$3,'Public Inputs'!$O$6:$O$17,$A9)</f>
        <v>2.875</v>
      </c>
      <c r="H9" s="50"/>
      <c r="I9" s="50"/>
      <c r="J9" s="50"/>
      <c r="K9" s="50"/>
      <c r="L9" s="50"/>
    </row>
    <row r="11" spans="1:12" ht="16">
      <c r="A11" s="51" t="s">
        <v>14</v>
      </c>
      <c r="B11" s="51" t="s">
        <v>14</v>
      </c>
      <c r="C11" s="51" t="s">
        <v>14</v>
      </c>
      <c r="D11" s="51" t="s">
        <v>14</v>
      </c>
      <c r="E11" s="51" t="s">
        <v>14</v>
      </c>
      <c r="F11" s="51" t="s">
        <v>14</v>
      </c>
      <c r="G11" s="51" t="s">
        <v>14</v>
      </c>
      <c r="H11" s="51" t="s">
        <v>14</v>
      </c>
      <c r="I11" s="51" t="s">
        <v>14</v>
      </c>
      <c r="J11" s="51" t="s">
        <v>14</v>
      </c>
      <c r="K11" s="51" t="s">
        <v>14</v>
      </c>
      <c r="L11" s="51" t="s">
        <v>14</v>
      </c>
    </row>
    <row r="12" spans="1:12" ht="34" customHeight="1">
      <c r="A12" s="47" t="s">
        <v>15</v>
      </c>
      <c r="B12" s="47"/>
      <c r="C12" s="47"/>
      <c r="D12" s="47"/>
      <c r="E12" s="52" t="s">
        <v>16</v>
      </c>
      <c r="F12" s="53"/>
      <c r="G12" s="53"/>
      <c r="H12" s="54"/>
      <c r="I12" s="47" t="s">
        <v>17</v>
      </c>
      <c r="J12" s="47"/>
      <c r="K12" s="47"/>
      <c r="L12" s="47"/>
    </row>
    <row r="13" spans="1:12" s="8" customFormat="1" ht="34" customHeight="1">
      <c r="A13" s="45" t="str">
        <f>$C$3</f>
        <v>Schouwen-Duiveland</v>
      </c>
      <c r="B13" s="45"/>
      <c r="C13" s="45"/>
      <c r="D13" s="45"/>
      <c r="E13" s="32" t="str">
        <f>INDEX('Public Inputs'!$B$22:$B$24,MATCH($C$3,'Public Inputs'!$A$22:$A$24,0))</f>
        <v>Village 1</v>
      </c>
      <c r="F13" s="33"/>
      <c r="G13" s="33"/>
      <c r="H13" s="34"/>
      <c r="I13" s="45" t="str">
        <f>INDEX('Public Inputs'!$I$22:$I$24,MATCH($C$3,'Public Inputs'!$A$22:$A$24,0))</f>
        <v>Forecast percentage</v>
      </c>
      <c r="J13" s="45"/>
      <c r="K13" s="45"/>
      <c r="L13" s="45"/>
    </row>
    <row r="14" spans="1:12" ht="34" customHeight="1">
      <c r="A14" s="47" t="s">
        <v>18</v>
      </c>
      <c r="B14" s="47"/>
      <c r="C14" s="47"/>
      <c r="D14" s="47"/>
      <c r="E14" s="47" t="s">
        <v>19</v>
      </c>
      <c r="F14" s="47"/>
      <c r="G14" s="47" t="s">
        <v>20</v>
      </c>
      <c r="H14" s="47"/>
      <c r="I14" s="47" t="s">
        <v>21</v>
      </c>
      <c r="J14" s="47"/>
      <c r="K14" s="47"/>
      <c r="L14" s="47"/>
    </row>
    <row r="15" spans="1:12" s="8" customFormat="1" ht="34" customHeight="1">
      <c r="A15" s="44">
        <f>INDEX('Public Inputs'!$D$22:$D$24,MATCH($C$3,'Public Inputs'!$A$22:$A$24,0))</f>
        <v>0</v>
      </c>
      <c r="B15" s="44"/>
      <c r="C15" s="44"/>
      <c r="D15" s="44"/>
      <c r="E15" s="44">
        <f>INDEX('Public Inputs'!$E$22:$E$24,MATCH($C$3,'Public Inputs'!$A$22:$A$24,0))</f>
        <v>0.88700000000000001</v>
      </c>
      <c r="F15" s="44"/>
      <c r="G15" s="44">
        <f>INDEX('Public Inputs'!$F$22:$F$24,MATCH($C$3,'Public Inputs'!$A$22:$A$24,0))</f>
        <v>0.97</v>
      </c>
      <c r="H15" s="44"/>
      <c r="I15" s="45" t="s">
        <v>22</v>
      </c>
      <c r="J15" s="45"/>
      <c r="K15" s="45"/>
      <c r="L15" s="45"/>
    </row>
    <row r="17" spans="1:12" ht="16">
      <c r="A17" s="46" t="s">
        <v>23</v>
      </c>
      <c r="B17" s="46" t="s">
        <v>23</v>
      </c>
      <c r="C17" s="46" t="s">
        <v>23</v>
      </c>
      <c r="D17" s="46" t="s">
        <v>23</v>
      </c>
      <c r="E17" s="46" t="s">
        <v>23</v>
      </c>
      <c r="F17" s="46" t="s">
        <v>23</v>
      </c>
      <c r="G17" s="46" t="s">
        <v>23</v>
      </c>
      <c r="H17" s="46" t="s">
        <v>23</v>
      </c>
      <c r="I17" s="46" t="s">
        <v>23</v>
      </c>
      <c r="J17" s="46" t="s">
        <v>23</v>
      </c>
      <c r="K17" s="46" t="s">
        <v>23</v>
      </c>
      <c r="L17" s="46" t="s">
        <v>23</v>
      </c>
    </row>
    <row r="18" spans="1:12" ht="36" customHeight="1">
      <c r="A18" s="42" t="s">
        <v>24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ht="38" customHeight="1">
      <c r="A19" s="43" t="s">
        <v>25</v>
      </c>
      <c r="B19" s="43"/>
      <c r="C19" s="43"/>
      <c r="D19" s="43" t="s">
        <v>26</v>
      </c>
      <c r="E19" s="43"/>
      <c r="F19" s="43"/>
      <c r="G19" s="43" t="s">
        <v>27</v>
      </c>
      <c r="H19" s="43"/>
      <c r="I19" s="43"/>
      <c r="J19" s="43" t="s">
        <v>28</v>
      </c>
      <c r="K19" s="43"/>
      <c r="L19" s="43"/>
    </row>
    <row r="20" spans="1:12" ht="38" customHeight="1">
      <c r="A20" s="40">
        <v>0.9</v>
      </c>
      <c r="B20" s="40"/>
      <c r="C20" s="40"/>
      <c r="D20" s="40">
        <f>INDEX('Public Inputs'!$F$22:$F$24,MATCH($C$3,'Public Inputs'!$A$22:$A$24,0))</f>
        <v>0.97</v>
      </c>
      <c r="E20" s="40"/>
      <c r="F20" s="40"/>
      <c r="G20" s="40">
        <f>INDEX('Public Inputs'!$G$22:$G$24,MATCH($C$3,'Public Inputs'!$A$22:$A$24,0))</f>
        <v>0.91400000000000003</v>
      </c>
      <c r="H20" s="40"/>
      <c r="I20" s="40"/>
      <c r="J20" s="40">
        <f>INDEX('Public Inputs'!$H$22:$H$24,MATCH($C$3,'Public Inputs'!$A$22:$A$24,0))</f>
        <v>0.91600000000000004</v>
      </c>
      <c r="K20" s="40"/>
      <c r="L20" s="40"/>
    </row>
    <row r="21" spans="1:12" ht="38" customHeight="1">
      <c r="A21" s="41" t="s">
        <v>29</v>
      </c>
      <c r="B21" s="41"/>
      <c r="C21" s="41" t="str">
        <f>INDEX('Public Inputs'!$J$22:$J$24,MATCH($C$3,'Public Inputs'!$A$22:$A$24,0))</f>
        <v>Neither flexibility solution clears the 90% threshold</v>
      </c>
      <c r="D21" s="41"/>
      <c r="E21" s="41"/>
      <c r="F21" s="41"/>
      <c r="G21" s="41"/>
      <c r="H21" s="41"/>
      <c r="I21" s="41"/>
      <c r="J21" s="41"/>
      <c r="K21" s="41"/>
      <c r="L21" s="41"/>
    </row>
    <row r="23" spans="1:12" ht="16">
      <c r="A23" s="38" t="s">
        <v>30</v>
      </c>
      <c r="B23" s="38" t="s">
        <v>30</v>
      </c>
      <c r="C23" s="38" t="s">
        <v>30</v>
      </c>
      <c r="D23" s="38" t="s">
        <v>30</v>
      </c>
      <c r="E23" s="38" t="s">
        <v>30</v>
      </c>
      <c r="F23" s="38" t="s">
        <v>30</v>
      </c>
      <c r="G23" s="38" t="s">
        <v>30</v>
      </c>
      <c r="H23" s="38" t="s">
        <v>30</v>
      </c>
      <c r="I23" s="38" t="s">
        <v>30</v>
      </c>
      <c r="J23" s="38" t="s">
        <v>30</v>
      </c>
      <c r="K23" s="38" t="s">
        <v>30</v>
      </c>
      <c r="L23" s="38" t="s">
        <v>30</v>
      </c>
    </row>
    <row r="24" spans="1:12" ht="48" customHeight="1">
      <c r="A24" s="1" t="s">
        <v>31</v>
      </c>
      <c r="B24" s="39" t="s">
        <v>32</v>
      </c>
      <c r="C24" s="39"/>
      <c r="D24" s="1" t="s">
        <v>33</v>
      </c>
      <c r="E24" s="1" t="s">
        <v>34</v>
      </c>
      <c r="F24" s="1" t="s">
        <v>10</v>
      </c>
      <c r="G24" s="1" t="s">
        <v>11</v>
      </c>
      <c r="H24" s="1" t="s">
        <v>12</v>
      </c>
      <c r="I24" s="1" t="s">
        <v>13</v>
      </c>
      <c r="J24" s="39" t="s">
        <v>35</v>
      </c>
      <c r="K24" s="39"/>
      <c r="L24" s="39"/>
    </row>
    <row r="25" spans="1:12" s="11" customFormat="1" ht="82" customHeight="1">
      <c r="A25" s="9" t="s">
        <v>7</v>
      </c>
      <c r="B25" s="37" t="s">
        <v>36</v>
      </c>
      <c r="C25" s="37"/>
      <c r="D25" s="10">
        <f>INDEX('Public Inputs'!$C$6:$C$15,MATCH($B25,'Public Inputs'!$B$6:$B$15,0))</f>
        <v>0.3</v>
      </c>
      <c r="E25" s="9" t="str">
        <f>INDEX('Public Inputs'!$D$6:$D$15,MATCH($B25,'Public Inputs'!$B$6:$B$15,0))</f>
        <v>Economic prospects</v>
      </c>
      <c r="F25" s="14">
        <f>SUMIFS('Public Inputs'!$K$28:$K$147,'Public Inputs'!$A$28:$A$147,$C$3,'Public Inputs'!$B$28:$B$147,$A25,'Public Inputs'!$C$28:$C$147,$B25,'Public Inputs'!$D$28:$D$147,F$24)</f>
        <v>2</v>
      </c>
      <c r="G25" s="14">
        <f>SUMIFS('Public Inputs'!$K$28:$K$147,'Public Inputs'!$A$28:$A$147,$C$3,'Public Inputs'!$B$28:$B$147,$A25,'Public Inputs'!$C$28:$C$147,$B25,'Public Inputs'!$D$28:$D$147,G$24)</f>
        <v>4</v>
      </c>
      <c r="H25" s="14">
        <f>SUMIFS('Public Inputs'!$K$28:$K$147,'Public Inputs'!$A$28:$A$147,$C$3,'Public Inputs'!$B$28:$B$147,$A25,'Public Inputs'!$C$28:$C$147,$B25,'Public Inputs'!$D$28:$D$147,H$24)</f>
        <v>4</v>
      </c>
      <c r="I25" s="14">
        <f>SUMIFS('Public Inputs'!$K$28:$K$147,'Public Inputs'!$A$28:$A$147,$C$3,'Public Inputs'!$B$28:$B$147,$A25,'Public Inputs'!$C$28:$C$147,$B25,'Public Inputs'!$D$28:$D$147,I$24)</f>
        <v>5</v>
      </c>
      <c r="J25" s="36" t="str">
        <f>IF($C$3="Schouwen-Duiveland",INDEX('Public Inputs'!$P$22:$P$31,MATCH($B25,'Public Inputs'!$O$22:$O$31,0)),IF($C$3="Walcheren",INDEX('Public Inputs'!$P$32:$P$41,MATCH($B25,'Public Inputs'!$O$32:$O$41,0)),INDEX('Public Inputs'!$P$42:$P$51,MATCH($B25,'Public Inputs'!$O$42:$O$51,0))))</f>
        <v>Base score unchanged for this criterion.</v>
      </c>
      <c r="K25" s="36"/>
      <c r="L25" s="36"/>
    </row>
    <row r="26" spans="1:12" s="11" customFormat="1" ht="82" customHeight="1">
      <c r="A26" s="9" t="s">
        <v>7</v>
      </c>
      <c r="B26" s="37" t="s">
        <v>37</v>
      </c>
      <c r="C26" s="37"/>
      <c r="D26" s="10">
        <f>INDEX('Public Inputs'!$C$6:$C$15,MATCH($B26,'Public Inputs'!$B$6:$B$15,0))</f>
        <v>0.2</v>
      </c>
      <c r="E26" s="9" t="str">
        <f>INDEX('Public Inputs'!$D$6:$D$15,MATCH($B26,'Public Inputs'!$B$6:$B$15,0))</f>
        <v>Maturity</v>
      </c>
      <c r="F26" s="14">
        <f>SUMIFS('Public Inputs'!$K$28:$K$147,'Public Inputs'!$A$28:$A$147,$C$3,'Public Inputs'!$B$28:$B$147,$A26,'Public Inputs'!$C$28:$C$147,$B26,'Public Inputs'!$D$28:$D$147,F$24)</f>
        <v>3.5</v>
      </c>
      <c r="G26" s="14">
        <f>SUMIFS('Public Inputs'!$K$28:$K$147,'Public Inputs'!$A$28:$A$147,$C$3,'Public Inputs'!$B$28:$B$147,$A26,'Public Inputs'!$C$28:$C$147,$B26,'Public Inputs'!$D$28:$D$147,G$24)</f>
        <v>2</v>
      </c>
      <c r="H26" s="14">
        <f>SUMIFS('Public Inputs'!$K$28:$K$147,'Public Inputs'!$A$28:$A$147,$C$3,'Public Inputs'!$B$28:$B$147,$A26,'Public Inputs'!$C$28:$C$147,$B26,'Public Inputs'!$D$28:$D$147,H$24)</f>
        <v>3</v>
      </c>
      <c r="I26" s="14">
        <f>SUMIFS('Public Inputs'!$K$28:$K$147,'Public Inputs'!$A$28:$A$147,$C$3,'Public Inputs'!$B$28:$B$147,$A26,'Public Inputs'!$C$28:$C$147,$B26,'Public Inputs'!$D$28:$D$147,I$24)</f>
        <v>1</v>
      </c>
      <c r="J26" s="36" t="str">
        <f>IF($C$3="Schouwen-Duiveland",INDEX('Public Inputs'!$P$22:$P$31,MATCH($B26,'Public Inputs'!$O$22:$O$31,0)),IF($C$3="Walcheren",INDEX('Public Inputs'!$P$32:$P$41,MATCH($B26,'Public Inputs'!$O$32:$O$41,0)),INDEX('Public Inputs'!$P$42:$P$51,MATCH($B26,'Public Inputs'!$O$42:$O$51,0))))</f>
        <v>Reinforcement follows a short bridge period while the binding-component stress exceeds the 90% threshold.</v>
      </c>
      <c r="K26" s="36"/>
      <c r="L26" s="36"/>
    </row>
    <row r="27" spans="1:12" s="11" customFormat="1" ht="82" customHeight="1">
      <c r="A27" s="9" t="s">
        <v>7</v>
      </c>
      <c r="B27" s="37" t="s">
        <v>38</v>
      </c>
      <c r="C27" s="37"/>
      <c r="D27" s="10">
        <f>INDEX('Public Inputs'!$C$6:$C$15,MATCH($B27,'Public Inputs'!$B$6:$B$15,0))</f>
        <v>0.2</v>
      </c>
      <c r="E27" s="9" t="str">
        <f>INDEX('Public Inputs'!$D$6:$D$15,MATCH($B27,'Public Inputs'!$B$6:$B$15,0))</f>
        <v>Feasibility</v>
      </c>
      <c r="F27" s="14">
        <f>SUMIFS('Public Inputs'!$K$28:$K$147,'Public Inputs'!$A$28:$A$147,$C$3,'Public Inputs'!$B$28:$B$147,$A27,'Public Inputs'!$C$28:$C$147,$B27,'Public Inputs'!$D$28:$D$147,F$24)</f>
        <v>1</v>
      </c>
      <c r="G27" s="14">
        <f>SUMIFS('Public Inputs'!$K$28:$K$147,'Public Inputs'!$A$28:$A$147,$C$3,'Public Inputs'!$B$28:$B$147,$A27,'Public Inputs'!$C$28:$C$147,$B27,'Public Inputs'!$D$28:$D$147,G$24)</f>
        <v>5</v>
      </c>
      <c r="H27" s="14">
        <f>SUMIFS('Public Inputs'!$K$28:$K$147,'Public Inputs'!$A$28:$A$147,$C$3,'Public Inputs'!$B$28:$B$147,$A27,'Public Inputs'!$C$28:$C$147,$B27,'Public Inputs'!$D$28:$D$147,H$24)</f>
        <v>3</v>
      </c>
      <c r="I27" s="14">
        <f>SUMIFS('Public Inputs'!$K$28:$K$147,'Public Inputs'!$A$28:$A$147,$C$3,'Public Inputs'!$B$28:$B$147,$A27,'Public Inputs'!$C$28:$C$147,$B27,'Public Inputs'!$D$28:$D$147,I$24)</f>
        <v>1.5</v>
      </c>
      <c r="J27" s="36" t="str">
        <f>IF($C$3="Schouwen-Duiveland",INDEX('Public Inputs'!$P$22:$P$31,MATCH($B27,'Public Inputs'!$O$22:$O$31,0)),IF($C$3="Walcheren",INDEX('Public Inputs'!$P$32:$P$41,MATCH($B27,'Public Inputs'!$O$32:$O$41,0)),INDEX('Public Inputs'!$P$42:$P$51,MATCH($B27,'Public Inputs'!$O$42:$O$51,0))))</f>
        <v>No relief is provided during the bridge period; the baseline ATC stress remains 97.0%.</v>
      </c>
      <c r="K27" s="36"/>
      <c r="L27" s="36"/>
    </row>
    <row r="28" spans="1:12" s="11" customFormat="1" ht="82" customHeight="1">
      <c r="A28" s="9" t="s">
        <v>7</v>
      </c>
      <c r="B28" s="37" t="s">
        <v>39</v>
      </c>
      <c r="C28" s="37"/>
      <c r="D28" s="10">
        <f>INDEX('Public Inputs'!$C$6:$C$15,MATCH($B28,'Public Inputs'!$B$6:$B$15,0))</f>
        <v>0.15</v>
      </c>
      <c r="E28" s="9" t="str">
        <f>INDEX('Public Inputs'!$D$6:$D$15,MATCH($B28,'Public Inputs'!$B$6:$B$15,0))</f>
        <v>Maturity</v>
      </c>
      <c r="F28" s="14">
        <f>SUMIFS('Public Inputs'!$K$28:$K$147,'Public Inputs'!$A$28:$A$147,$C$3,'Public Inputs'!$B$28:$B$147,$A28,'Public Inputs'!$C$28:$C$147,$B28,'Public Inputs'!$D$28:$D$147,F$24)</f>
        <v>5</v>
      </c>
      <c r="G28" s="14">
        <f>SUMIFS('Public Inputs'!$K$28:$K$147,'Public Inputs'!$A$28:$A$147,$C$3,'Public Inputs'!$B$28:$B$147,$A28,'Public Inputs'!$C$28:$C$147,$B28,'Public Inputs'!$D$28:$D$147,G$24)</f>
        <v>4</v>
      </c>
      <c r="H28" s="14">
        <f>SUMIFS('Public Inputs'!$K$28:$K$147,'Public Inputs'!$A$28:$A$147,$C$3,'Public Inputs'!$B$28:$B$147,$A28,'Public Inputs'!$C$28:$C$147,$B28,'Public Inputs'!$D$28:$D$147,H$24)</f>
        <v>2.5</v>
      </c>
      <c r="I28" s="14">
        <f>SUMIFS('Public Inputs'!$K$28:$K$147,'Public Inputs'!$A$28:$A$147,$C$3,'Public Inputs'!$B$28:$B$147,$A28,'Public Inputs'!$C$28:$C$147,$B28,'Public Inputs'!$D$28:$D$147,I$24)</f>
        <v>2</v>
      </c>
      <c r="J28" s="36" t="str">
        <f>IF($C$3="Schouwen-Duiveland",INDEX('Public Inputs'!$P$22:$P$31,MATCH($B28,'Public Inputs'!$O$22:$O$31,0)),IF($C$3="Walcheren",INDEX('Public Inputs'!$P$32:$P$41,MATCH($B28,'Public Inputs'!$O$32:$O$41,0)),INDEX('Public Inputs'!$P$42:$P$51,MATCH($B28,'Public Inputs'!$O$42:$O$51,0))))</f>
        <v>Regional energy cooperation is developing, which improves the relative readiness of a collective arrangement.</v>
      </c>
      <c r="K28" s="36"/>
      <c r="L28" s="36"/>
    </row>
    <row r="29" spans="1:12" s="11" customFormat="1" ht="82" customHeight="1">
      <c r="A29" s="9" t="s">
        <v>7</v>
      </c>
      <c r="B29" s="37" t="s">
        <v>40</v>
      </c>
      <c r="C29" s="37"/>
      <c r="D29" s="10">
        <f>INDEX('Public Inputs'!$C$6:$C$15,MATCH($B29,'Public Inputs'!$B$6:$B$15,0))</f>
        <v>0.15</v>
      </c>
      <c r="E29" s="9" t="str">
        <f>INDEX('Public Inputs'!$D$6:$D$15,MATCH($B29,'Public Inputs'!$B$6:$B$15,0))</f>
        <v>Local embeddedness</v>
      </c>
      <c r="F29" s="14">
        <f>SUMIFS('Public Inputs'!$K$28:$K$147,'Public Inputs'!$A$28:$A$147,$C$3,'Public Inputs'!$B$28:$B$147,$A29,'Public Inputs'!$C$28:$C$147,$B29,'Public Inputs'!$D$28:$D$147,F$24)</f>
        <v>4</v>
      </c>
      <c r="G29" s="14">
        <f>SUMIFS('Public Inputs'!$K$28:$K$147,'Public Inputs'!$A$28:$A$147,$C$3,'Public Inputs'!$B$28:$B$147,$A29,'Public Inputs'!$C$28:$C$147,$B29,'Public Inputs'!$D$28:$D$147,G$24)</f>
        <v>3</v>
      </c>
      <c r="H29" s="14">
        <f>SUMIFS('Public Inputs'!$K$28:$K$147,'Public Inputs'!$A$28:$A$147,$C$3,'Public Inputs'!$B$28:$B$147,$A29,'Public Inputs'!$C$28:$C$147,$B29,'Public Inputs'!$D$28:$D$147,H$24)</f>
        <v>2</v>
      </c>
      <c r="I29" s="14">
        <f>SUMIFS('Public Inputs'!$K$28:$K$147,'Public Inputs'!$A$28:$A$147,$C$3,'Public Inputs'!$B$28:$B$147,$A29,'Public Inputs'!$C$28:$C$147,$B29,'Public Inputs'!$D$28:$D$147,I$24)</f>
        <v>5</v>
      </c>
      <c r="J29" s="36" t="str">
        <f>IF($C$3="Schouwen-Duiveland",INDEX('Public Inputs'!$P$22:$P$31,MATCH($B29,'Public Inputs'!$O$22:$O$31,0)),IF($C$3="Walcheren",INDEX('Public Inputs'!$P$32:$P$41,MATCH($B29,'Public Inputs'!$O$32:$O$41,0)),INDEX('Public Inputs'!$P$42:$P$51,MATCH($B29,'Public Inputs'!$O$42:$O$51,0))))</f>
        <v>Base score unchanged for this criterion.</v>
      </c>
      <c r="K29" s="36"/>
      <c r="L29" s="36"/>
    </row>
    <row r="30" spans="1:12" s="11" customFormat="1" ht="82" customHeight="1">
      <c r="A30" s="12" t="s">
        <v>8</v>
      </c>
      <c r="B30" s="35" t="s">
        <v>41</v>
      </c>
      <c r="C30" s="35"/>
      <c r="D30" s="13">
        <f>INDEX('Public Inputs'!$C$6:$C$15,MATCH($B30,'Public Inputs'!$B$6:$B$15,0))</f>
        <v>0.3</v>
      </c>
      <c r="E30" s="12" t="str">
        <f>INDEX('Public Inputs'!$D$6:$D$15,MATCH($B30,'Public Inputs'!$B$6:$B$15,0))</f>
        <v>Economic prospects</v>
      </c>
      <c r="F30" s="14">
        <f>SUMIFS('Public Inputs'!$K$28:$K$147,'Public Inputs'!$A$28:$A$147,$C$3,'Public Inputs'!$B$28:$B$147,$A30,'Public Inputs'!$C$28:$C$147,$B30,'Public Inputs'!$D$28:$D$147,F$24)</f>
        <v>2</v>
      </c>
      <c r="G30" s="14">
        <f>SUMIFS('Public Inputs'!$K$28:$K$147,'Public Inputs'!$A$28:$A$147,$C$3,'Public Inputs'!$B$28:$B$147,$A30,'Public Inputs'!$C$28:$C$147,$B30,'Public Inputs'!$D$28:$D$147,G$24)</f>
        <v>5</v>
      </c>
      <c r="H30" s="14">
        <f>SUMIFS('Public Inputs'!$K$28:$K$147,'Public Inputs'!$A$28:$A$147,$C$3,'Public Inputs'!$B$28:$B$147,$A30,'Public Inputs'!$C$28:$C$147,$B30,'Public Inputs'!$D$28:$D$147,H$24)</f>
        <v>4</v>
      </c>
      <c r="I30" s="14">
        <f>SUMIFS('Public Inputs'!$K$28:$K$147,'Public Inputs'!$A$28:$A$147,$C$3,'Public Inputs'!$B$28:$B$147,$A30,'Public Inputs'!$C$28:$C$147,$B30,'Public Inputs'!$D$28:$D$147,I$24)</f>
        <v>2</v>
      </c>
      <c r="J30" s="36" t="str">
        <f>IF($C$3="Schouwen-Duiveland",INDEX('Public Inputs'!$P$22:$P$31,MATCH($B30,'Public Inputs'!$O$22:$O$31,0)),IF($C$3="Walcheren",INDEX('Public Inputs'!$P$32:$P$41,MATCH($B30,'Public Inputs'!$O$32:$O$41,0)),INDEX('Public Inputs'!$P$42:$P$51,MATCH($B30,'Public Inputs'!$O$42:$O$51,0))))</f>
        <v>Base score unchanged for this criterion.</v>
      </c>
      <c r="K30" s="36"/>
      <c r="L30" s="36"/>
    </row>
    <row r="31" spans="1:12" s="11" customFormat="1" ht="82" customHeight="1">
      <c r="A31" s="12" t="s">
        <v>8</v>
      </c>
      <c r="B31" s="35" t="s">
        <v>42</v>
      </c>
      <c r="C31" s="35"/>
      <c r="D31" s="13">
        <f>INDEX('Public Inputs'!$C$6:$C$15,MATCH($B31,'Public Inputs'!$B$6:$B$15,0))</f>
        <v>0.2</v>
      </c>
      <c r="E31" s="12" t="str">
        <f>INDEX('Public Inputs'!$D$6:$D$15,MATCH($B31,'Public Inputs'!$B$6:$B$15,0))</f>
        <v>Feasibility</v>
      </c>
      <c r="F31" s="14">
        <f>SUMIFS('Public Inputs'!$K$28:$K$147,'Public Inputs'!$A$28:$A$147,$C$3,'Public Inputs'!$B$28:$B$147,$A31,'Public Inputs'!$C$28:$C$147,$B31,'Public Inputs'!$D$28:$D$147,F$24)</f>
        <v>1</v>
      </c>
      <c r="G31" s="14">
        <f>SUMIFS('Public Inputs'!$K$28:$K$147,'Public Inputs'!$A$28:$A$147,$C$3,'Public Inputs'!$B$28:$B$147,$A31,'Public Inputs'!$C$28:$C$147,$B31,'Public Inputs'!$D$28:$D$147,G$24)</f>
        <v>4</v>
      </c>
      <c r="H31" s="14">
        <f>SUMIFS('Public Inputs'!$K$28:$K$147,'Public Inputs'!$A$28:$A$147,$C$3,'Public Inputs'!$B$28:$B$147,$A31,'Public Inputs'!$C$28:$C$147,$B31,'Public Inputs'!$D$28:$D$147,H$24)</f>
        <v>3</v>
      </c>
      <c r="I31" s="14">
        <f>SUMIFS('Public Inputs'!$K$28:$K$147,'Public Inputs'!$A$28:$A$147,$C$3,'Public Inputs'!$B$28:$B$147,$A31,'Public Inputs'!$C$28:$C$147,$B31,'Public Inputs'!$D$28:$D$147,I$24)</f>
        <v>1</v>
      </c>
      <c r="J31" s="36" t="str">
        <f>IF($C$3="Schouwen-Duiveland",INDEX('Public Inputs'!$P$22:$P$31,MATCH($B31,'Public Inputs'!$O$22:$O$31,0)),IF($C$3="Walcheren",INDEX('Public Inputs'!$P$32:$P$41,MATCH($B31,'Public Inputs'!$O$32:$O$41,0)),INDEX('Public Inputs'!$P$42:$P$51,MATCH($B31,'Public Inputs'!$O$42:$O$51,0))))</f>
        <v>Base score unchanged for this criterion.</v>
      </c>
      <c r="K31" s="36"/>
      <c r="L31" s="36"/>
    </row>
    <row r="32" spans="1:12" s="11" customFormat="1" ht="82" customHeight="1">
      <c r="A32" s="12" t="s">
        <v>8</v>
      </c>
      <c r="B32" s="35" t="s">
        <v>43</v>
      </c>
      <c r="C32" s="35"/>
      <c r="D32" s="13">
        <f>INDEX('Public Inputs'!$C$6:$C$15,MATCH($B32,'Public Inputs'!$B$6:$B$15,0))</f>
        <v>0.2</v>
      </c>
      <c r="E32" s="12" t="str">
        <f>INDEX('Public Inputs'!$D$6:$D$15,MATCH($B32,'Public Inputs'!$B$6:$B$15,0))</f>
        <v>Scalability + feasibility</v>
      </c>
      <c r="F32" s="14">
        <f>SUMIFS('Public Inputs'!$K$28:$K$147,'Public Inputs'!$A$28:$A$147,$C$3,'Public Inputs'!$B$28:$B$147,$A32,'Public Inputs'!$C$28:$C$147,$B32,'Public Inputs'!$D$28:$D$147,F$24)</f>
        <v>4</v>
      </c>
      <c r="G32" s="14">
        <f>SUMIFS('Public Inputs'!$K$28:$K$147,'Public Inputs'!$A$28:$A$147,$C$3,'Public Inputs'!$B$28:$B$147,$A32,'Public Inputs'!$C$28:$C$147,$B32,'Public Inputs'!$D$28:$D$147,G$24)</f>
        <v>3</v>
      </c>
      <c r="H32" s="14">
        <f>SUMIFS('Public Inputs'!$K$28:$K$147,'Public Inputs'!$A$28:$A$147,$C$3,'Public Inputs'!$B$28:$B$147,$A32,'Public Inputs'!$C$28:$C$147,$B32,'Public Inputs'!$D$28:$D$147,H$24)</f>
        <v>2.5</v>
      </c>
      <c r="I32" s="14">
        <f>SUMIFS('Public Inputs'!$K$28:$K$147,'Public Inputs'!$A$28:$A$147,$C$3,'Public Inputs'!$B$28:$B$147,$A32,'Public Inputs'!$C$28:$C$147,$B32,'Public Inputs'!$D$28:$D$147,I$24)</f>
        <v>5</v>
      </c>
      <c r="J32" s="36" t="str">
        <f>IF($C$3="Schouwen-Duiveland",INDEX('Public Inputs'!$P$22:$P$31,MATCH($B32,'Public Inputs'!$O$22:$O$31,0)),IF($C$3="Walcheren",INDEX('Public Inputs'!$P$32:$P$41,MATCH($B32,'Public Inputs'!$O$32:$O$41,0)),INDEX('Public Inputs'!$P$42:$P$51,MATCH($B32,'Public Inputs'!$O$42:$O$51,0))))</f>
        <v>Regional groups and municipal facilitation can reduce the coordination burden.</v>
      </c>
      <c r="K32" s="36"/>
      <c r="L32" s="36"/>
    </row>
    <row r="33" spans="1:12" s="11" customFormat="1" ht="82" customHeight="1">
      <c r="A33" s="12" t="s">
        <v>8</v>
      </c>
      <c r="B33" s="35" t="s">
        <v>44</v>
      </c>
      <c r="C33" s="35"/>
      <c r="D33" s="13">
        <f>INDEX('Public Inputs'!$C$6:$C$15,MATCH($B33,'Public Inputs'!$B$6:$B$15,0))</f>
        <v>0.15</v>
      </c>
      <c r="E33" s="12" t="str">
        <f>INDEX('Public Inputs'!$D$6:$D$15,MATCH($B33,'Public Inputs'!$B$6:$B$15,0))</f>
        <v>Regional relatedness + local embeddedness</v>
      </c>
      <c r="F33" s="14">
        <f>SUMIFS('Public Inputs'!$K$28:$K$147,'Public Inputs'!$A$28:$A$147,$C$3,'Public Inputs'!$B$28:$B$147,$A33,'Public Inputs'!$C$28:$C$147,$B33,'Public Inputs'!$D$28:$D$147,F$24)</f>
        <v>3</v>
      </c>
      <c r="G33" s="14">
        <f>SUMIFS('Public Inputs'!$K$28:$K$147,'Public Inputs'!$A$28:$A$147,$C$3,'Public Inputs'!$B$28:$B$147,$A33,'Public Inputs'!$C$28:$C$147,$B33,'Public Inputs'!$D$28:$D$147,G$24)</f>
        <v>5</v>
      </c>
      <c r="H33" s="14">
        <f>SUMIFS('Public Inputs'!$K$28:$K$147,'Public Inputs'!$A$28:$A$147,$C$3,'Public Inputs'!$B$28:$B$147,$A33,'Public Inputs'!$C$28:$C$147,$B33,'Public Inputs'!$D$28:$D$147,H$24)</f>
        <v>2.5</v>
      </c>
      <c r="I33" s="14">
        <f>SUMIFS('Public Inputs'!$K$28:$K$147,'Public Inputs'!$A$28:$A$147,$C$3,'Public Inputs'!$B$28:$B$147,$A33,'Public Inputs'!$C$28:$C$147,$B33,'Public Inputs'!$D$28:$D$147,I$24)</f>
        <v>5</v>
      </c>
      <c r="J33" s="36" t="str">
        <f>IF($C$3="Schouwen-Duiveland",INDEX('Public Inputs'!$P$22:$P$31,MATCH($B33,'Public Inputs'!$O$22:$O$31,0)),IF($C$3="Walcheren",INDEX('Public Inputs'!$P$32:$P$41,MATCH($B33,'Public Inputs'!$O$32:$O$41,0)),INDEX('Public Inputs'!$P$42:$P$51,MATCH($B33,'Public Inputs'!$O$42:$O$51,0))))</f>
        <v>Existing cooperation reduces the dependency objection identified by participating companies.</v>
      </c>
      <c r="K33" s="36"/>
      <c r="L33" s="36"/>
    </row>
    <row r="34" spans="1:12" s="11" customFormat="1" ht="82" customHeight="1">
      <c r="A34" s="12" t="s">
        <v>8</v>
      </c>
      <c r="B34" s="35" t="s">
        <v>45</v>
      </c>
      <c r="C34" s="35"/>
      <c r="D34" s="13">
        <f>INDEX('Public Inputs'!$C$6:$C$15,MATCH($B34,'Public Inputs'!$B$6:$B$15,0))</f>
        <v>0.15</v>
      </c>
      <c r="E34" s="12" t="str">
        <f>INDEX('Public Inputs'!$D$6:$D$15,MATCH($B34,'Public Inputs'!$B$6:$B$15,0))</f>
        <v>Climate and energy impacts</v>
      </c>
      <c r="F34" s="14">
        <f>SUMIFS('Public Inputs'!$K$28:$K$147,'Public Inputs'!$A$28:$A$147,$C$3,'Public Inputs'!$B$28:$B$147,$A34,'Public Inputs'!$C$28:$C$147,$B34,'Public Inputs'!$D$28:$D$147,F$24)</f>
        <v>3</v>
      </c>
      <c r="G34" s="14">
        <f>SUMIFS('Public Inputs'!$K$28:$K$147,'Public Inputs'!$A$28:$A$147,$C$3,'Public Inputs'!$B$28:$B$147,$A34,'Public Inputs'!$C$28:$C$147,$B34,'Public Inputs'!$D$28:$D$147,G$24)</f>
        <v>4</v>
      </c>
      <c r="H34" s="14">
        <f>SUMIFS('Public Inputs'!$K$28:$K$147,'Public Inputs'!$A$28:$A$147,$C$3,'Public Inputs'!$B$28:$B$147,$A34,'Public Inputs'!$C$28:$C$147,$B34,'Public Inputs'!$D$28:$D$147,H$24)</f>
        <v>5</v>
      </c>
      <c r="I34" s="14">
        <f>SUMIFS('Public Inputs'!$K$28:$K$147,'Public Inputs'!$A$28:$A$147,$C$3,'Public Inputs'!$B$28:$B$147,$A34,'Public Inputs'!$C$28:$C$147,$B34,'Public Inputs'!$D$28:$D$147,I$24)</f>
        <v>1</v>
      </c>
      <c r="J34" s="36" t="str">
        <f>IF($C$3="Schouwen-Duiveland",INDEX('Public Inputs'!$P$22:$P$31,MATCH($B34,'Public Inputs'!$O$22:$O$31,0)),IF($C$3="Walcheren",INDEX('Public Inputs'!$P$32:$P$41,MATCH($B34,'Public Inputs'!$O$32:$O$41,0)),INDEX('Public Inputs'!$P$42:$P$51,MATCH($B34,'Public Inputs'!$O$42:$O$51,0))))</f>
        <v>Base score unchanged for this criterion.</v>
      </c>
      <c r="K34" s="36"/>
      <c r="L34" s="36"/>
    </row>
    <row r="36" spans="1:12" ht="15">
      <c r="A36" s="31" t="s">
        <v>46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1:12" ht="50" customHeight="1">
      <c r="A37" s="63" t="s">
        <v>47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</row>
    <row r="38" spans="1:12" ht="50" customHeight="1">
      <c r="A38" s="63" t="s">
        <v>48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</row>
    <row r="39" spans="1:12" ht="50" customHeight="1">
      <c r="A39" s="63" t="s">
        <v>49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</row>
  </sheetData>
  <mergeCells count="68">
    <mergeCell ref="A1:L1"/>
    <mergeCell ref="A2:L2"/>
    <mergeCell ref="A3:B3"/>
    <mergeCell ref="C3:L3"/>
    <mergeCell ref="A4:F4"/>
    <mergeCell ref="H4:L4"/>
    <mergeCell ref="H5:L6"/>
    <mergeCell ref="H7:L7"/>
    <mergeCell ref="H8:L9"/>
    <mergeCell ref="A11:L11"/>
    <mergeCell ref="A12:D12"/>
    <mergeCell ref="I12:L12"/>
    <mergeCell ref="E12:H12"/>
    <mergeCell ref="A5:C5"/>
    <mergeCell ref="A6:C6"/>
    <mergeCell ref="A7:C7"/>
    <mergeCell ref="A8:C8"/>
    <mergeCell ref="A9:C9"/>
    <mergeCell ref="A13:D13"/>
    <mergeCell ref="I13:L13"/>
    <mergeCell ref="A14:D14"/>
    <mergeCell ref="E14:F14"/>
    <mergeCell ref="G14:H14"/>
    <mergeCell ref="I14:L14"/>
    <mergeCell ref="A15:D15"/>
    <mergeCell ref="E15:F15"/>
    <mergeCell ref="G15:H15"/>
    <mergeCell ref="I15:L15"/>
    <mergeCell ref="A17:L17"/>
    <mergeCell ref="A18:L18"/>
    <mergeCell ref="A19:C19"/>
    <mergeCell ref="D19:F19"/>
    <mergeCell ref="G19:I19"/>
    <mergeCell ref="J19:L19"/>
    <mergeCell ref="A20:C20"/>
    <mergeCell ref="D20:F20"/>
    <mergeCell ref="G20:I20"/>
    <mergeCell ref="J20:L20"/>
    <mergeCell ref="A21:B21"/>
    <mergeCell ref="C21:L21"/>
    <mergeCell ref="A23:L23"/>
    <mergeCell ref="B24:C24"/>
    <mergeCell ref="J24:L24"/>
    <mergeCell ref="B25:C25"/>
    <mergeCell ref="J25:L25"/>
    <mergeCell ref="J31:L31"/>
    <mergeCell ref="B26:C26"/>
    <mergeCell ref="J26:L26"/>
    <mergeCell ref="B27:C27"/>
    <mergeCell ref="J27:L27"/>
    <mergeCell ref="B28:C28"/>
    <mergeCell ref="J28:L28"/>
    <mergeCell ref="A36:L36"/>
    <mergeCell ref="A37:L37"/>
    <mergeCell ref="A38:L38"/>
    <mergeCell ref="A39:L39"/>
    <mergeCell ref="E13:H13"/>
    <mergeCell ref="B32:C32"/>
    <mergeCell ref="J32:L32"/>
    <mergeCell ref="B33:C33"/>
    <mergeCell ref="J33:L33"/>
    <mergeCell ref="B34:C34"/>
    <mergeCell ref="J34:L34"/>
    <mergeCell ref="B29:C29"/>
    <mergeCell ref="J29:L29"/>
    <mergeCell ref="B30:C30"/>
    <mergeCell ref="J30:L30"/>
    <mergeCell ref="B31:C31"/>
  </mergeCells>
  <conditionalFormatting sqref="F25:I34">
    <cfRule type="colorScale" priority="1">
      <colorScale>
        <cfvo type="min"/>
        <cfvo type="percentile" val="50"/>
        <cfvo type="max"/>
        <color rgb="FFFCE8E6"/>
        <color rgb="FFFFF2CC"/>
        <color rgb="FFE6F3EA"/>
      </colorScale>
    </cfRule>
  </conditionalFormatting>
  <dataValidations count="1">
    <dataValidation type="list" sqref="C3" xr:uid="{00000000-0002-0000-0000-000000000000}">
      <formula1>"Schouwen-Duiveland,Walcheren,West-Zeeuws-Vlaanderen"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7"/>
  <sheetViews>
    <sheetView showGridLines="0" workbookViewId="0">
      <selection activeCell="F22" sqref="F22"/>
    </sheetView>
  </sheetViews>
  <sheetFormatPr baseColWidth="10" defaultColWidth="8.83203125" defaultRowHeight="14"/>
  <cols>
    <col min="1" max="1" width="23" customWidth="1"/>
    <col min="2" max="2" width="38" customWidth="1"/>
    <col min="3" max="3" width="12" customWidth="1"/>
    <col min="4" max="4" width="31" customWidth="1"/>
    <col min="5" max="5" width="22" customWidth="1"/>
    <col min="6" max="7" width="30" customWidth="1"/>
    <col min="8" max="8" width="58" customWidth="1"/>
    <col min="9" max="12" width="16" customWidth="1"/>
    <col min="13" max="13" width="34" customWidth="1"/>
    <col min="14" max="14" width="25" customWidth="1"/>
    <col min="15" max="15" width="31" customWidth="1"/>
    <col min="16" max="16" width="16" customWidth="1"/>
    <col min="17" max="17" width="24.5" customWidth="1"/>
    <col min="18" max="18" width="16" customWidth="1"/>
    <col min="19" max="19" width="24" customWidth="1"/>
    <col min="20" max="20" width="47" customWidth="1"/>
  </cols>
  <sheetData>
    <row r="1" spans="1:20" ht="28" customHeight="1">
      <c r="A1" s="57" t="s">
        <v>50</v>
      </c>
      <c r="B1" s="57" t="s">
        <v>50</v>
      </c>
      <c r="C1" s="57" t="s">
        <v>50</v>
      </c>
      <c r="D1" s="57" t="s">
        <v>50</v>
      </c>
      <c r="E1" s="57" t="s">
        <v>50</v>
      </c>
      <c r="F1" s="57" t="s">
        <v>50</v>
      </c>
      <c r="G1" s="57" t="s">
        <v>50</v>
      </c>
      <c r="H1" s="57" t="s">
        <v>50</v>
      </c>
      <c r="I1" s="57" t="s">
        <v>50</v>
      </c>
      <c r="J1" s="57" t="s">
        <v>50</v>
      </c>
      <c r="K1" s="57" t="s">
        <v>50</v>
      </c>
      <c r="L1" s="57" t="s">
        <v>50</v>
      </c>
      <c r="M1" s="57" t="s">
        <v>50</v>
      </c>
      <c r="N1" s="57" t="s">
        <v>50</v>
      </c>
      <c r="O1" s="57" t="s">
        <v>50</v>
      </c>
      <c r="P1" s="57" t="s">
        <v>50</v>
      </c>
      <c r="Q1" s="57" t="s">
        <v>50</v>
      </c>
      <c r="R1" s="57" t="s">
        <v>50</v>
      </c>
      <c r="S1" s="57" t="s">
        <v>50</v>
      </c>
      <c r="T1" s="57" t="s">
        <v>50</v>
      </c>
    </row>
    <row r="2" spans="1:20" ht="28" customHeight="1">
      <c r="A2" s="64" t="s">
        <v>51</v>
      </c>
      <c r="B2" s="64" t="s">
        <v>52</v>
      </c>
      <c r="C2" s="64" t="s">
        <v>52</v>
      </c>
      <c r="D2" s="64" t="s">
        <v>52</v>
      </c>
      <c r="E2" s="64" t="s">
        <v>52</v>
      </c>
      <c r="F2" s="64" t="s">
        <v>52</v>
      </c>
      <c r="G2" s="64" t="s">
        <v>52</v>
      </c>
      <c r="H2" s="64" t="s">
        <v>52</v>
      </c>
      <c r="I2" s="64" t="s">
        <v>52</v>
      </c>
      <c r="J2" s="64" t="s">
        <v>52</v>
      </c>
      <c r="K2" s="64" t="s">
        <v>52</v>
      </c>
      <c r="L2" s="64" t="s">
        <v>52</v>
      </c>
      <c r="M2" s="64" t="s">
        <v>52</v>
      </c>
      <c r="N2" s="64" t="s">
        <v>52</v>
      </c>
      <c r="O2" s="64" t="s">
        <v>52</v>
      </c>
      <c r="P2" s="64" t="s">
        <v>52</v>
      </c>
      <c r="Q2" s="64" t="s">
        <v>52</v>
      </c>
      <c r="R2" s="64" t="s">
        <v>52</v>
      </c>
      <c r="S2" s="64" t="s">
        <v>52</v>
      </c>
      <c r="T2" s="64" t="s">
        <v>52</v>
      </c>
    </row>
    <row r="4" spans="1:20" ht="16">
      <c r="A4" s="38" t="s">
        <v>53</v>
      </c>
      <c r="B4" s="38" t="s">
        <v>53</v>
      </c>
      <c r="C4" s="38" t="s">
        <v>53</v>
      </c>
      <c r="D4" s="38" t="s">
        <v>53</v>
      </c>
      <c r="E4" s="38" t="s">
        <v>53</v>
      </c>
      <c r="F4" s="38" t="s">
        <v>53</v>
      </c>
      <c r="G4" s="38" t="s">
        <v>53</v>
      </c>
      <c r="H4" s="38" t="s">
        <v>53</v>
      </c>
      <c r="I4" s="38" t="s">
        <v>53</v>
      </c>
      <c r="N4" s="38" t="s">
        <v>54</v>
      </c>
      <c r="O4" s="38" t="s">
        <v>54</v>
      </c>
      <c r="P4" s="38" t="s">
        <v>54</v>
      </c>
      <c r="Q4" s="38" t="s">
        <v>54</v>
      </c>
      <c r="R4" s="38" t="s">
        <v>54</v>
      </c>
      <c r="S4" s="38" t="s">
        <v>54</v>
      </c>
      <c r="T4" s="38" t="s">
        <v>54</v>
      </c>
    </row>
    <row r="5" spans="1:20" ht="42" customHeight="1">
      <c r="A5" s="1" t="s">
        <v>31</v>
      </c>
      <c r="B5" s="1" t="s">
        <v>32</v>
      </c>
      <c r="C5" s="1" t="s">
        <v>33</v>
      </c>
      <c r="D5" s="1" t="s">
        <v>34</v>
      </c>
      <c r="E5" s="1" t="s">
        <v>55</v>
      </c>
      <c r="F5" s="1" t="s">
        <v>10</v>
      </c>
      <c r="G5" s="1" t="s">
        <v>11</v>
      </c>
      <c r="H5" s="1" t="s">
        <v>12</v>
      </c>
      <c r="I5" s="1" t="s">
        <v>13</v>
      </c>
      <c r="N5" s="1" t="s">
        <v>15</v>
      </c>
      <c r="O5" s="1" t="s">
        <v>6</v>
      </c>
      <c r="P5" s="1" t="s">
        <v>56</v>
      </c>
      <c r="Q5" s="1" t="s">
        <v>57</v>
      </c>
      <c r="R5" s="1" t="s">
        <v>9</v>
      </c>
      <c r="S5" s="1" t="s">
        <v>58</v>
      </c>
      <c r="T5" s="1" t="s">
        <v>59</v>
      </c>
    </row>
    <row r="6" spans="1:20" s="8" customFormat="1" ht="96">
      <c r="A6" s="15" t="s">
        <v>7</v>
      </c>
      <c r="B6" s="15" t="s">
        <v>36</v>
      </c>
      <c r="C6" s="16">
        <v>0.3</v>
      </c>
      <c r="D6" s="15" t="s">
        <v>60</v>
      </c>
      <c r="E6" s="15" t="s">
        <v>61</v>
      </c>
      <c r="F6" s="22">
        <v>2</v>
      </c>
      <c r="G6" s="22">
        <v>4</v>
      </c>
      <c r="H6" s="22">
        <v>4</v>
      </c>
      <c r="I6" s="22">
        <v>5</v>
      </c>
      <c r="N6" s="17" t="s">
        <v>3</v>
      </c>
      <c r="O6" s="17" t="s">
        <v>10</v>
      </c>
      <c r="P6" s="18">
        <f>SUMIFS($L$28:$L$147,$A$28:$A$147,$N6,$B$28:$B$147,"Grid operator",$D$28:$D$147,$O6)/SUMIFS($J$28:$J$147,$A$28:$A$147,$N6,$B$28:$B$147,"Grid operator",$D$28:$D$147,$O6)</f>
        <v>2.85</v>
      </c>
      <c r="Q6" s="18">
        <f>SUMIFS($L$28:$L$147,$A$28:$A$147,$N6,$B$28:$B$147,"Company",$D$28:$D$147,$O6)/SUMIFS($J$28:$J$147,$A$28:$A$147,$N6,$B$28:$B$147,"Company",$D$28:$D$147,$O6)</f>
        <v>2.5</v>
      </c>
      <c r="R6" s="18">
        <f t="shared" ref="R6:R17" si="0">(P6+Q6)/2</f>
        <v>2.6749999999999998</v>
      </c>
      <c r="S6" s="17" t="e">
        <f ca="1">IF(R6=_xludf.MAXIFS($R$6:$R$17,$N$6:$N$17,N6),"Preferred response option","—")</f>
        <v>#NAME?</v>
      </c>
      <c r="T6" s="17" t="s">
        <v>62</v>
      </c>
    </row>
    <row r="7" spans="1:20" s="8" customFormat="1" ht="80">
      <c r="A7" s="15" t="s">
        <v>7</v>
      </c>
      <c r="B7" s="15" t="s">
        <v>37</v>
      </c>
      <c r="C7" s="16">
        <v>0.2</v>
      </c>
      <c r="D7" s="15" t="s">
        <v>63</v>
      </c>
      <c r="E7" s="15" t="s">
        <v>64</v>
      </c>
      <c r="F7" s="22">
        <v>4</v>
      </c>
      <c r="G7" s="22">
        <v>2</v>
      </c>
      <c r="H7" s="22">
        <v>3</v>
      </c>
      <c r="I7" s="22">
        <v>1</v>
      </c>
      <c r="N7" s="17" t="s">
        <v>3</v>
      </c>
      <c r="O7" s="17" t="s">
        <v>11</v>
      </c>
      <c r="P7" s="18">
        <f>SUMIFS($L$28:$L$147,$A$28:$A$147,$N7,$B$28:$B$147,"Grid operator",$D$28:$D$147,$O7)/SUMIFS($J$28:$J$147,$A$28:$A$147,$N7,$B$28:$B$147,"Grid operator",$D$28:$D$147,$O7)</f>
        <v>3.6500000000000004</v>
      </c>
      <c r="Q7" s="18">
        <f>SUMIFS($L$28:$L$147,$A$28:$A$147,$N7,$B$28:$B$147,"Company",$D$28:$D$147,$O7)/SUMIFS($J$28:$J$147,$A$28:$A$147,$N7,$B$28:$B$147,"Company",$D$28:$D$147,$O7)</f>
        <v>4.25</v>
      </c>
      <c r="R7" s="18">
        <f t="shared" si="0"/>
        <v>3.95</v>
      </c>
      <c r="S7" s="17" t="e">
        <f ca="1">IF(R7=_xludf.MAXIFS($R$6:$R$17,$N$6:$N$17,N7),"Preferred response option","—")</f>
        <v>#NAME?</v>
      </c>
      <c r="T7" s="17" t="s">
        <v>65</v>
      </c>
    </row>
    <row r="8" spans="1:20" s="8" customFormat="1" ht="64">
      <c r="A8" s="15" t="s">
        <v>7</v>
      </c>
      <c r="B8" s="15" t="s">
        <v>38</v>
      </c>
      <c r="C8" s="16">
        <v>0.2</v>
      </c>
      <c r="D8" s="15" t="s">
        <v>66</v>
      </c>
      <c r="E8" s="15" t="s">
        <v>67</v>
      </c>
      <c r="F8" s="22">
        <v>1</v>
      </c>
      <c r="G8" s="22">
        <v>5</v>
      </c>
      <c r="H8" s="22">
        <v>3</v>
      </c>
      <c r="I8" s="22">
        <v>2</v>
      </c>
      <c r="N8" s="17" t="s">
        <v>3</v>
      </c>
      <c r="O8" s="17" t="s">
        <v>12</v>
      </c>
      <c r="P8" s="18">
        <f>SUMIFS($L$28:$L$147,$A$28:$A$147,$N8,$B$28:$B$147,"Grid operator",$D$28:$D$147,$O8)/SUMIFS($J$28:$J$147,$A$28:$A$147,$N8,$B$28:$B$147,"Grid operator",$D$28:$D$147,$O8)</f>
        <v>3.0750000000000002</v>
      </c>
      <c r="Q8" s="18">
        <f>SUMIFS($L$28:$L$147,$A$28:$A$147,$N8,$B$28:$B$147,"Company",$D$28:$D$147,$O8)/SUMIFS($J$28:$J$147,$A$28:$A$147,$N8,$B$28:$B$147,"Company",$D$28:$D$147,$O8)</f>
        <v>3.4249999999999998</v>
      </c>
      <c r="R8" s="18">
        <f t="shared" si="0"/>
        <v>3.25</v>
      </c>
      <c r="S8" s="17" t="e">
        <f ca="1">IF(R8=_xludf.MAXIFS($R$6:$R$17,$N$6:$N$17,N8),"Preferred response option","—")</f>
        <v>#NAME?</v>
      </c>
      <c r="T8" s="17" t="s">
        <v>68</v>
      </c>
    </row>
    <row r="9" spans="1:20" s="8" customFormat="1" ht="64">
      <c r="A9" s="15" t="s">
        <v>7</v>
      </c>
      <c r="B9" s="15" t="s">
        <v>39</v>
      </c>
      <c r="C9" s="16">
        <v>0.15</v>
      </c>
      <c r="D9" s="15" t="s">
        <v>63</v>
      </c>
      <c r="E9" s="15" t="s">
        <v>69</v>
      </c>
      <c r="F9" s="22">
        <v>5</v>
      </c>
      <c r="G9" s="22">
        <v>4</v>
      </c>
      <c r="H9" s="22">
        <v>2</v>
      </c>
      <c r="I9" s="22">
        <v>2</v>
      </c>
      <c r="N9" s="17" t="s">
        <v>3</v>
      </c>
      <c r="O9" s="17" t="s">
        <v>13</v>
      </c>
      <c r="P9" s="18">
        <f>SUMIFS($L$28:$L$147,$A$28:$A$147,$N9,$B$28:$B$147,"Grid operator",$D$28:$D$147,$O9)/SUMIFS($J$28:$J$147,$A$28:$A$147,$N9,$B$28:$B$147,"Grid operator",$D$28:$D$147,$O9)</f>
        <v>3.05</v>
      </c>
      <c r="Q9" s="18">
        <f>SUMIFS($L$28:$L$147,$A$28:$A$147,$N9,$B$28:$B$147,"Company",$D$28:$D$147,$O9)/SUMIFS($J$28:$J$147,$A$28:$A$147,$N9,$B$28:$B$147,"Company",$D$28:$D$147,$O9)</f>
        <v>2.6999999999999997</v>
      </c>
      <c r="R9" s="18">
        <f t="shared" si="0"/>
        <v>2.875</v>
      </c>
      <c r="S9" s="17" t="e">
        <f ca="1">IF(R9=_xludf.MAXIFS($R$6:$R$17,$N$6:$N$17,N9),"Preferred response option","—")</f>
        <v>#NAME?</v>
      </c>
      <c r="T9" s="17" t="s">
        <v>70</v>
      </c>
    </row>
    <row r="10" spans="1:20" s="8" customFormat="1" ht="48">
      <c r="A10" s="15" t="s">
        <v>7</v>
      </c>
      <c r="B10" s="15" t="s">
        <v>40</v>
      </c>
      <c r="C10" s="16">
        <v>0.15</v>
      </c>
      <c r="D10" s="15" t="s">
        <v>71</v>
      </c>
      <c r="E10" s="15" t="s">
        <v>72</v>
      </c>
      <c r="F10" s="22">
        <v>4</v>
      </c>
      <c r="G10" s="22">
        <v>3</v>
      </c>
      <c r="H10" s="22">
        <v>2</v>
      </c>
      <c r="I10" s="22">
        <v>5</v>
      </c>
      <c r="N10" s="17" t="s">
        <v>73</v>
      </c>
      <c r="O10" s="17" t="s">
        <v>10</v>
      </c>
      <c r="P10" s="18">
        <f>SUMIFS($L$28:$L$147,$A$28:$A$147,$N10,$B$28:$B$147,"Grid operator",$D$28:$D$147,$O10)/SUMIFS($J$28:$J$147,$A$28:$A$147,$N10,$B$28:$B$147,"Grid operator",$D$28:$D$147,$O10)</f>
        <v>2.85</v>
      </c>
      <c r="Q10" s="18">
        <f>SUMIFS($L$28:$L$147,$A$28:$A$147,$N10,$B$28:$B$147,"Company",$D$28:$D$147,$O10)/SUMIFS($J$28:$J$147,$A$28:$A$147,$N10,$B$28:$B$147,"Company",$D$28:$D$147,$O10)</f>
        <v>2.5</v>
      </c>
      <c r="R10" s="18">
        <f t="shared" si="0"/>
        <v>2.6749999999999998</v>
      </c>
      <c r="S10" s="17" t="e">
        <f ca="1">IF(R10=_xludf.MAXIFS($R$6:$R$17,$N$6:$N$17,N10),"Preferred response option","—")</f>
        <v>#NAME?</v>
      </c>
      <c r="T10" s="17" t="s">
        <v>74</v>
      </c>
    </row>
    <row r="11" spans="1:20" s="8" customFormat="1" ht="80">
      <c r="A11" s="19" t="s">
        <v>8</v>
      </c>
      <c r="B11" s="19" t="s">
        <v>41</v>
      </c>
      <c r="C11" s="16">
        <v>0.3</v>
      </c>
      <c r="D11" s="19" t="s">
        <v>60</v>
      </c>
      <c r="E11" s="19" t="s">
        <v>75</v>
      </c>
      <c r="F11" s="22">
        <v>2</v>
      </c>
      <c r="G11" s="22">
        <v>5</v>
      </c>
      <c r="H11" s="22">
        <v>4</v>
      </c>
      <c r="I11" s="22">
        <v>2</v>
      </c>
      <c r="N11" s="17" t="s">
        <v>73</v>
      </c>
      <c r="O11" s="17" t="s">
        <v>11</v>
      </c>
      <c r="P11" s="18">
        <f>SUMIFS($L$28:$L$147,$A$28:$A$147,$N11,$B$28:$B$147,"Grid operator",$D$28:$D$147,$O11)/SUMIFS($J$28:$J$147,$A$28:$A$147,$N11,$B$28:$B$147,"Grid operator",$D$28:$D$147,$O11)</f>
        <v>3.9749999999999996</v>
      </c>
      <c r="Q11" s="18">
        <f>SUMIFS($L$28:$L$147,$A$28:$A$147,$N11,$B$28:$B$147,"Company",$D$28:$D$147,$O11)/SUMIFS($J$28:$J$147,$A$28:$A$147,$N11,$B$28:$B$147,"Company",$D$28:$D$147,$O11)</f>
        <v>4.45</v>
      </c>
      <c r="R11" s="18">
        <f t="shared" si="0"/>
        <v>4.2125000000000004</v>
      </c>
      <c r="S11" s="17" t="e">
        <f ca="1">IF(R11=_xludf.MAXIFS($R$6:$R$17,$N$6:$N$17,N11),"Preferred response option","—")</f>
        <v>#NAME?</v>
      </c>
      <c r="T11" s="17" t="s">
        <v>76</v>
      </c>
    </row>
    <row r="12" spans="1:20" s="8" customFormat="1" ht="64">
      <c r="A12" s="19" t="s">
        <v>8</v>
      </c>
      <c r="B12" s="19" t="s">
        <v>42</v>
      </c>
      <c r="C12" s="16">
        <v>0.2</v>
      </c>
      <c r="D12" s="19" t="s">
        <v>66</v>
      </c>
      <c r="E12" s="19" t="s">
        <v>77</v>
      </c>
      <c r="F12" s="22">
        <v>1</v>
      </c>
      <c r="G12" s="22">
        <v>4</v>
      </c>
      <c r="H12" s="22">
        <v>3</v>
      </c>
      <c r="I12" s="22">
        <v>1</v>
      </c>
      <c r="N12" s="17" t="s">
        <v>73</v>
      </c>
      <c r="O12" s="17" t="s">
        <v>12</v>
      </c>
      <c r="P12" s="18">
        <f>SUMIFS($L$28:$L$147,$A$28:$A$147,$N12,$B$28:$B$147,"Grid operator",$D$28:$D$147,$O12)/SUMIFS($J$28:$J$147,$A$28:$A$147,$N12,$B$28:$B$147,"Grid operator",$D$28:$D$147,$O12)</f>
        <v>3.05</v>
      </c>
      <c r="Q12" s="18">
        <f>SUMIFS($L$28:$L$147,$A$28:$A$147,$N12,$B$28:$B$147,"Company",$D$28:$D$147,$O12)/SUMIFS($J$28:$J$147,$A$28:$A$147,$N12,$B$28:$B$147,"Company",$D$28:$D$147,$O12)</f>
        <v>3.3</v>
      </c>
      <c r="R12" s="18">
        <f t="shared" si="0"/>
        <v>3.1749999999999998</v>
      </c>
      <c r="S12" s="17" t="e">
        <f ca="1">IF(R12=_xludf.MAXIFS($R$6:$R$17,$N$6:$N$17,N12),"Preferred response option","—")</f>
        <v>#NAME?</v>
      </c>
      <c r="T12" s="17" t="s">
        <v>78</v>
      </c>
    </row>
    <row r="13" spans="1:20" s="8" customFormat="1" ht="64">
      <c r="A13" s="19" t="s">
        <v>8</v>
      </c>
      <c r="B13" s="19" t="s">
        <v>43</v>
      </c>
      <c r="C13" s="16">
        <v>0.2</v>
      </c>
      <c r="D13" s="19" t="s">
        <v>79</v>
      </c>
      <c r="E13" s="19" t="s">
        <v>80</v>
      </c>
      <c r="F13" s="22">
        <v>4</v>
      </c>
      <c r="G13" s="22">
        <v>3</v>
      </c>
      <c r="H13" s="22">
        <v>2</v>
      </c>
      <c r="I13" s="22">
        <v>5</v>
      </c>
      <c r="N13" s="17" t="s">
        <v>73</v>
      </c>
      <c r="O13" s="17" t="s">
        <v>13</v>
      </c>
      <c r="P13" s="18">
        <f>SUMIFS($L$28:$L$147,$A$28:$A$147,$N13,$B$28:$B$147,"Grid operator",$D$28:$D$147,$O13)/SUMIFS($J$28:$J$147,$A$28:$A$147,$N13,$B$28:$B$147,"Grid operator",$D$28:$D$147,$O13)</f>
        <v>3.05</v>
      </c>
      <c r="Q13" s="18">
        <f>SUMIFS($L$28:$L$147,$A$28:$A$147,$N13,$B$28:$B$147,"Company",$D$28:$D$147,$O13)/SUMIFS($J$28:$J$147,$A$28:$A$147,$N13,$B$28:$B$147,"Company",$D$28:$D$147,$O13)</f>
        <v>2.6999999999999997</v>
      </c>
      <c r="R13" s="18">
        <f t="shared" si="0"/>
        <v>2.875</v>
      </c>
      <c r="S13" s="17" t="e">
        <f ca="1">IF(R13=_xludf.MAXIFS($R$6:$R$17,$N$6:$N$17,N13),"Preferred response option","—")</f>
        <v>#NAME?</v>
      </c>
      <c r="T13" s="17" t="s">
        <v>81</v>
      </c>
    </row>
    <row r="14" spans="1:20" s="8" customFormat="1" ht="64">
      <c r="A14" s="19" t="s">
        <v>8</v>
      </c>
      <c r="B14" s="19" t="s">
        <v>44</v>
      </c>
      <c r="C14" s="16">
        <v>0.15</v>
      </c>
      <c r="D14" s="19" t="s">
        <v>82</v>
      </c>
      <c r="E14" s="19" t="s">
        <v>83</v>
      </c>
      <c r="F14" s="22">
        <v>3</v>
      </c>
      <c r="G14" s="22">
        <v>5</v>
      </c>
      <c r="H14" s="22">
        <v>2</v>
      </c>
      <c r="I14" s="22">
        <v>5</v>
      </c>
      <c r="N14" s="17" t="s">
        <v>84</v>
      </c>
      <c r="O14" s="17" t="s">
        <v>10</v>
      </c>
      <c r="P14" s="18">
        <f>SUMIFS($L$28:$L$147,$A$28:$A$147,$N14,$B$28:$B$147,"Grid operator",$D$28:$D$147,$O14)/SUMIFS($J$28:$J$147,$A$28:$A$147,$N14,$B$28:$B$147,"Grid operator",$D$28:$D$147,$O14)</f>
        <v>2.85</v>
      </c>
      <c r="Q14" s="18">
        <f>SUMIFS($L$28:$L$147,$A$28:$A$147,$N14,$B$28:$B$147,"Company",$D$28:$D$147,$O14)/SUMIFS($J$28:$J$147,$A$28:$A$147,$N14,$B$28:$B$147,"Company",$D$28:$D$147,$O14)</f>
        <v>2.5</v>
      </c>
      <c r="R14" s="18">
        <f t="shared" si="0"/>
        <v>2.6749999999999998</v>
      </c>
      <c r="S14" s="17" t="e">
        <f ca="1">IF(R14=_xludf.MAXIFS($R$6:$R$17,$N$6:$N$17,N14),"Preferred response option","—")</f>
        <v>#NAME?</v>
      </c>
      <c r="T14" s="17" t="s">
        <v>85</v>
      </c>
    </row>
    <row r="15" spans="1:20" s="8" customFormat="1" ht="48">
      <c r="A15" s="19" t="s">
        <v>8</v>
      </c>
      <c r="B15" s="19" t="s">
        <v>45</v>
      </c>
      <c r="C15" s="16">
        <v>0.15</v>
      </c>
      <c r="D15" s="19" t="s">
        <v>86</v>
      </c>
      <c r="E15" s="19" t="s">
        <v>87</v>
      </c>
      <c r="F15" s="22">
        <v>3</v>
      </c>
      <c r="G15" s="22">
        <v>4</v>
      </c>
      <c r="H15" s="22">
        <v>5</v>
      </c>
      <c r="I15" s="22">
        <v>1</v>
      </c>
      <c r="N15" s="17" t="s">
        <v>84</v>
      </c>
      <c r="O15" s="17" t="s">
        <v>11</v>
      </c>
      <c r="P15" s="18">
        <f>SUMIFS($L$28:$L$147,$A$28:$A$147,$N15,$B$28:$B$147,"Grid operator",$D$28:$D$147,$O15)/SUMIFS($J$28:$J$147,$A$28:$A$147,$N15,$B$28:$B$147,"Grid operator",$D$28:$D$147,$O15)</f>
        <v>3.8</v>
      </c>
      <c r="Q15" s="18">
        <f>SUMIFS($L$28:$L$147,$A$28:$A$147,$N15,$B$28:$B$147,"Company",$D$28:$D$147,$O15)/SUMIFS($J$28:$J$147,$A$28:$A$147,$N15,$B$28:$B$147,"Company",$D$28:$D$147,$O15)</f>
        <v>4.3499999999999996</v>
      </c>
      <c r="R15" s="18">
        <f t="shared" si="0"/>
        <v>4.0749999999999993</v>
      </c>
      <c r="S15" s="17" t="e">
        <f ca="1">IF(R15=_xludf.MAXIFS($R$6:$R$17,$N$6:$N$17,N15),"Preferred response option","—")</f>
        <v>#NAME?</v>
      </c>
      <c r="T15" s="17" t="s">
        <v>88</v>
      </c>
    </row>
    <row r="16" spans="1:20" s="8" customFormat="1" ht="16">
      <c r="N16" s="17" t="s">
        <v>84</v>
      </c>
      <c r="O16" s="17" t="s">
        <v>12</v>
      </c>
      <c r="P16" s="18">
        <f>SUMIFS($L$28:$L$147,$A$28:$A$147,$N16,$B$28:$B$147,"Grid operator",$D$28:$D$147,$O16)/SUMIFS($J$28:$J$147,$A$28:$A$147,$N16,$B$28:$B$147,"Grid operator",$D$28:$D$147,$O16)</f>
        <v>2.9750000000000001</v>
      </c>
      <c r="Q16" s="18">
        <f>SUMIFS($L$28:$L$147,$A$28:$A$147,$N16,$B$28:$B$147,"Company",$D$28:$D$147,$O16)/SUMIFS($J$28:$J$147,$A$28:$A$147,$N16,$B$28:$B$147,"Company",$D$28:$D$147,$O16)</f>
        <v>3.2250000000000001</v>
      </c>
      <c r="R16" s="18">
        <f t="shared" si="0"/>
        <v>3.1</v>
      </c>
      <c r="S16" s="17" t="e">
        <f ca="1">IF(R16=_xludf.MAXIFS($R$6:$R$17,$N$6:$N$17,N16),"Preferred response option","—")</f>
        <v>#NAME?</v>
      </c>
      <c r="T16" s="17" t="s">
        <v>89</v>
      </c>
    </row>
    <row r="17" spans="1:20" s="8" customFormat="1" ht="16">
      <c r="A17" s="20" t="s">
        <v>90</v>
      </c>
      <c r="B17" s="20" t="s">
        <v>7</v>
      </c>
      <c r="C17" s="21">
        <f>SUMIF($A$6:$A$15,"Grid operator",$C$6:$C$15)</f>
        <v>1</v>
      </c>
      <c r="D17" s="21" t="s">
        <v>8</v>
      </c>
      <c r="E17" s="21">
        <f>SUMIF($A$6:$A$15,"Company",$C$6:$C$15)</f>
        <v>1</v>
      </c>
      <c r="F17" s="20" t="str">
        <f>IF(AND(ABS(C17-1)&lt;0.0001,ABS(E17-1)&lt;0.0001),"OK — both actors total 100%","Review weights")</f>
        <v>OK — both actors total 100%</v>
      </c>
      <c r="N17" s="17" t="s">
        <v>84</v>
      </c>
      <c r="O17" s="17" t="s">
        <v>13</v>
      </c>
      <c r="P17" s="18">
        <f>SUMIFS($L$28:$L$147,$A$28:$A$147,$N17,$B$28:$B$147,"Grid operator",$D$28:$D$147,$O17)/SUMIFS($J$28:$J$147,$A$28:$A$147,$N17,$B$28:$B$147,"Grid operator",$D$28:$D$147,$O17)</f>
        <v>3.05</v>
      </c>
      <c r="Q17" s="18">
        <f>SUMIFS($L$28:$L$147,$A$28:$A$147,$N17,$B$28:$B$147,"Company",$D$28:$D$147,$O17)/SUMIFS($J$28:$J$147,$A$28:$A$147,$N17,$B$28:$B$147,"Company",$D$28:$D$147,$O17)</f>
        <v>2.6999999999999997</v>
      </c>
      <c r="R17" s="18">
        <f t="shared" si="0"/>
        <v>2.875</v>
      </c>
      <c r="S17" s="17" t="e">
        <f ca="1">IF(R17=_xludf.MAXIFS($R$6:$R$17,$N$6:$N$17,N17),"Preferred response option","—")</f>
        <v>#NAME?</v>
      </c>
      <c r="T17" s="17" t="s">
        <v>91</v>
      </c>
    </row>
    <row r="20" spans="1:20" ht="16">
      <c r="A20" s="51" t="s">
        <v>92</v>
      </c>
      <c r="B20" s="51" t="s">
        <v>92</v>
      </c>
      <c r="C20" s="51" t="s">
        <v>92</v>
      </c>
      <c r="D20" s="51" t="s">
        <v>92</v>
      </c>
      <c r="E20" s="51" t="s">
        <v>92</v>
      </c>
      <c r="F20" s="51" t="s">
        <v>92</v>
      </c>
      <c r="G20" s="51" t="s">
        <v>92</v>
      </c>
      <c r="H20" s="51" t="s">
        <v>92</v>
      </c>
      <c r="I20" s="51" t="s">
        <v>92</v>
      </c>
      <c r="J20" s="51" t="s">
        <v>92</v>
      </c>
      <c r="K20" s="51" t="s">
        <v>92</v>
      </c>
      <c r="L20" s="51" t="s">
        <v>92</v>
      </c>
      <c r="M20" s="51" t="s">
        <v>92</v>
      </c>
      <c r="N20" s="51" t="s">
        <v>93</v>
      </c>
      <c r="O20" s="51" t="s">
        <v>93</v>
      </c>
      <c r="P20" s="51" t="s">
        <v>93</v>
      </c>
      <c r="Q20" s="51" t="s">
        <v>93</v>
      </c>
    </row>
    <row r="21" spans="1:20" ht="58" customHeight="1">
      <c r="A21" s="1" t="s">
        <v>15</v>
      </c>
      <c r="B21" s="1" t="s">
        <v>94</v>
      </c>
      <c r="C21" s="72" t="s">
        <v>95</v>
      </c>
      <c r="D21" s="73"/>
      <c r="E21" s="1" t="s">
        <v>19</v>
      </c>
      <c r="F21" s="1" t="s">
        <v>20</v>
      </c>
      <c r="G21" s="1" t="s">
        <v>27</v>
      </c>
      <c r="H21" s="1" t="s">
        <v>28</v>
      </c>
      <c r="I21" s="1" t="s">
        <v>17</v>
      </c>
      <c r="J21" s="1" t="s">
        <v>96</v>
      </c>
      <c r="K21" s="1" t="s">
        <v>97</v>
      </c>
      <c r="L21" s="1" t="s">
        <v>98</v>
      </c>
      <c r="M21" s="1" t="s">
        <v>99</v>
      </c>
      <c r="N21" s="1" t="s">
        <v>15</v>
      </c>
      <c r="O21" s="1" t="s">
        <v>32</v>
      </c>
      <c r="P21" s="1" t="s">
        <v>100</v>
      </c>
      <c r="Q21" s="1" t="s">
        <v>59</v>
      </c>
    </row>
    <row r="22" spans="1:20" s="11" customFormat="1" ht="95" customHeight="1">
      <c r="A22" s="9" t="s">
        <v>3</v>
      </c>
      <c r="B22" s="24" t="s">
        <v>101</v>
      </c>
      <c r="C22" s="70">
        <v>1</v>
      </c>
      <c r="D22" s="71"/>
      <c r="E22" s="25">
        <v>0.88700000000000001</v>
      </c>
      <c r="F22" s="25">
        <v>0.97</v>
      </c>
      <c r="G22" s="25">
        <v>0.91400000000000003</v>
      </c>
      <c r="H22" s="25">
        <v>0.91600000000000004</v>
      </c>
      <c r="I22" s="23" t="s">
        <v>102</v>
      </c>
      <c r="J22" s="23" t="s">
        <v>103</v>
      </c>
      <c r="K22" s="23" t="s">
        <v>104</v>
      </c>
      <c r="L22" s="23" t="s">
        <v>105</v>
      </c>
      <c r="M22" s="23" t="s">
        <v>106</v>
      </c>
      <c r="N22" s="4" t="s">
        <v>3</v>
      </c>
      <c r="O22" s="4" t="s">
        <v>36</v>
      </c>
      <c r="P22" s="4" t="s">
        <v>107</v>
      </c>
      <c r="Q22" s="4" t="s">
        <v>108</v>
      </c>
    </row>
    <row r="23" spans="1:20" s="11" customFormat="1" ht="95" customHeight="1">
      <c r="A23" s="9" t="s">
        <v>73</v>
      </c>
      <c r="B23" s="24" t="s">
        <v>109</v>
      </c>
      <c r="C23" s="70">
        <v>1</v>
      </c>
      <c r="D23" s="71"/>
      <c r="E23" s="25">
        <v>0.82299999999999995</v>
      </c>
      <c r="F23" s="25">
        <v>0.94799999999999995</v>
      </c>
      <c r="G23" s="25">
        <v>0.88300000000000001</v>
      </c>
      <c r="H23" s="25">
        <v>0.89100000000000001</v>
      </c>
      <c r="I23" s="23" t="s">
        <v>110</v>
      </c>
      <c r="J23" s="23" t="s">
        <v>111</v>
      </c>
      <c r="K23" s="23" t="s">
        <v>112</v>
      </c>
      <c r="L23" s="23" t="s">
        <v>113</v>
      </c>
      <c r="M23" s="23" t="s">
        <v>106</v>
      </c>
      <c r="N23" s="4" t="s">
        <v>3</v>
      </c>
      <c r="O23" s="4" t="s">
        <v>37</v>
      </c>
      <c r="P23" s="4" t="s">
        <v>114</v>
      </c>
      <c r="Q23" s="4" t="s">
        <v>115</v>
      </c>
    </row>
    <row r="24" spans="1:20" s="11" customFormat="1" ht="95" customHeight="1">
      <c r="A24" s="9" t="s">
        <v>84</v>
      </c>
      <c r="B24" s="24" t="s">
        <v>116</v>
      </c>
      <c r="C24" s="70">
        <v>0.84109589041095889</v>
      </c>
      <c r="D24" s="71"/>
      <c r="E24" s="25">
        <v>0.53900000000000003</v>
      </c>
      <c r="F24" s="25">
        <v>0.90600000000000003</v>
      </c>
      <c r="G24" s="25">
        <v>0.86099999999999999</v>
      </c>
      <c r="H24" s="25">
        <v>0.85799999999999998</v>
      </c>
      <c r="I24" s="23" t="s">
        <v>110</v>
      </c>
      <c r="J24" s="23" t="s">
        <v>117</v>
      </c>
      <c r="K24" s="23" t="s">
        <v>118</v>
      </c>
      <c r="L24" s="23" t="s">
        <v>119</v>
      </c>
      <c r="M24" s="23" t="s">
        <v>106</v>
      </c>
      <c r="N24" s="4" t="s">
        <v>3</v>
      </c>
      <c r="O24" s="4" t="s">
        <v>38</v>
      </c>
      <c r="P24" s="4" t="s">
        <v>120</v>
      </c>
      <c r="Q24" s="4" t="s">
        <v>121</v>
      </c>
    </row>
    <row r="25" spans="1:20" ht="112">
      <c r="A25" s="2"/>
      <c r="N25" s="17" t="s">
        <v>3</v>
      </c>
      <c r="O25" s="17" t="s">
        <v>39</v>
      </c>
      <c r="P25" s="17" t="s">
        <v>122</v>
      </c>
      <c r="Q25" s="17" t="s">
        <v>123</v>
      </c>
    </row>
    <row r="26" spans="1:20" ht="48">
      <c r="A26" s="65" t="s">
        <v>124</v>
      </c>
      <c r="B26" s="38" t="s">
        <v>124</v>
      </c>
      <c r="C26" s="38" t="s">
        <v>124</v>
      </c>
      <c r="D26" s="38" t="s">
        <v>124</v>
      </c>
      <c r="E26" s="38" t="s">
        <v>124</v>
      </c>
      <c r="F26" s="38" t="s">
        <v>124</v>
      </c>
      <c r="G26" s="38" t="s">
        <v>124</v>
      </c>
      <c r="H26" s="38" t="s">
        <v>124</v>
      </c>
      <c r="I26" s="38" t="s">
        <v>124</v>
      </c>
      <c r="J26" s="38" t="s">
        <v>124</v>
      </c>
      <c r="K26" s="38" t="s">
        <v>124</v>
      </c>
      <c r="L26" s="38" t="s">
        <v>124</v>
      </c>
      <c r="N26" s="17" t="s">
        <v>3</v>
      </c>
      <c r="O26" s="17" t="s">
        <v>40</v>
      </c>
      <c r="P26" s="17" t="s">
        <v>107</v>
      </c>
      <c r="Q26" s="17" t="s">
        <v>125</v>
      </c>
    </row>
    <row r="27" spans="1:20" ht="48" customHeight="1">
      <c r="A27" s="3" t="s">
        <v>15</v>
      </c>
      <c r="B27" s="1" t="s">
        <v>31</v>
      </c>
      <c r="C27" s="1" t="s">
        <v>32</v>
      </c>
      <c r="D27" s="1" t="s">
        <v>6</v>
      </c>
      <c r="E27" s="1" t="s">
        <v>126</v>
      </c>
      <c r="F27" s="1" t="s">
        <v>127</v>
      </c>
      <c r="G27" s="1" t="s">
        <v>128</v>
      </c>
      <c r="H27" s="1" t="s">
        <v>129</v>
      </c>
      <c r="I27" s="1" t="s">
        <v>130</v>
      </c>
      <c r="J27" s="1" t="s">
        <v>33</v>
      </c>
      <c r="K27" s="1" t="s">
        <v>131</v>
      </c>
      <c r="L27" s="1" t="s">
        <v>132</v>
      </c>
      <c r="N27" s="17" t="s">
        <v>3</v>
      </c>
      <c r="O27" s="17" t="s">
        <v>41</v>
      </c>
      <c r="P27" s="17" t="s">
        <v>107</v>
      </c>
      <c r="Q27" s="17" t="s">
        <v>133</v>
      </c>
    </row>
    <row r="28" spans="1:20" ht="58" customHeight="1">
      <c r="A28" s="26" t="s">
        <v>3</v>
      </c>
      <c r="B28" s="17" t="s">
        <v>7</v>
      </c>
      <c r="C28" s="17" t="s">
        <v>36</v>
      </c>
      <c r="D28" s="17" t="s">
        <v>10</v>
      </c>
      <c r="E28" s="30">
        <v>0</v>
      </c>
      <c r="F28" s="17" t="s">
        <v>134</v>
      </c>
      <c r="G28" s="17" t="s">
        <v>135</v>
      </c>
      <c r="H28" s="17" t="s">
        <v>136</v>
      </c>
      <c r="I28" s="27">
        <f>INDEX($F$6:$I$15,MATCH($C28,$B$6:$B$15,0),MATCH($D28,$F$5:$I$5,0))</f>
        <v>2</v>
      </c>
      <c r="J28" s="28">
        <f t="shared" ref="J28:J59" si="1">INDEX($C$6:$C$15,MATCH($C28,$B$6:$B$15,0))</f>
        <v>0.3</v>
      </c>
      <c r="K28" s="27">
        <f t="shared" ref="K28:K59" si="2">MAX(1,MIN(5,I28+E28))</f>
        <v>2</v>
      </c>
      <c r="L28" s="29">
        <f t="shared" ref="L28:L59" si="3">J28*K28</f>
        <v>0.6</v>
      </c>
      <c r="N28" s="17" t="s">
        <v>3</v>
      </c>
      <c r="O28" s="17" t="s">
        <v>42</v>
      </c>
      <c r="P28" s="17" t="s">
        <v>107</v>
      </c>
      <c r="Q28" s="17" t="s">
        <v>137</v>
      </c>
    </row>
    <row r="29" spans="1:20" ht="58" customHeight="1">
      <c r="A29" s="26" t="s">
        <v>3</v>
      </c>
      <c r="B29" s="17" t="s">
        <v>7</v>
      </c>
      <c r="C29" s="17" t="s">
        <v>36</v>
      </c>
      <c r="D29" s="17" t="s">
        <v>11</v>
      </c>
      <c r="E29" s="30">
        <v>0</v>
      </c>
      <c r="F29" s="17" t="s">
        <v>134</v>
      </c>
      <c r="G29" s="17" t="s">
        <v>135</v>
      </c>
      <c r="H29" s="17" t="s">
        <v>138</v>
      </c>
      <c r="I29" s="27">
        <f>INDEX($F$6:$I$15,MATCH($C29,$B$6:$B$15,0),MATCH($D29,$F$5:$I$5,0))</f>
        <v>4</v>
      </c>
      <c r="J29" s="28">
        <f t="shared" si="1"/>
        <v>0.3</v>
      </c>
      <c r="K29" s="27">
        <f t="shared" si="2"/>
        <v>4</v>
      </c>
      <c r="L29" s="29">
        <f t="shared" si="3"/>
        <v>1.2</v>
      </c>
      <c r="N29" s="17" t="s">
        <v>3</v>
      </c>
      <c r="O29" s="17" t="s">
        <v>43</v>
      </c>
      <c r="P29" s="17" t="s">
        <v>139</v>
      </c>
      <c r="Q29" s="17" t="s">
        <v>140</v>
      </c>
    </row>
    <row r="30" spans="1:20" ht="58" customHeight="1">
      <c r="A30" s="26" t="s">
        <v>3</v>
      </c>
      <c r="B30" s="17" t="s">
        <v>7</v>
      </c>
      <c r="C30" s="17" t="s">
        <v>36</v>
      </c>
      <c r="D30" s="17" t="s">
        <v>12</v>
      </c>
      <c r="E30" s="30">
        <v>0</v>
      </c>
      <c r="F30" s="17" t="s">
        <v>134</v>
      </c>
      <c r="G30" s="17" t="s">
        <v>135</v>
      </c>
      <c r="H30" s="17" t="s">
        <v>141</v>
      </c>
      <c r="I30" s="27">
        <f>INDEX($F$6:$I$15,MATCH($C30,$B$6:$B$15,0),MATCH($D30,$F$5:$I$5,0))</f>
        <v>4</v>
      </c>
      <c r="J30" s="28">
        <f t="shared" si="1"/>
        <v>0.3</v>
      </c>
      <c r="K30" s="27">
        <f t="shared" si="2"/>
        <v>4</v>
      </c>
      <c r="L30" s="29">
        <f t="shared" si="3"/>
        <v>1.2</v>
      </c>
      <c r="N30" s="17" t="s">
        <v>3</v>
      </c>
      <c r="O30" s="17" t="s">
        <v>44</v>
      </c>
      <c r="P30" s="17" t="s">
        <v>142</v>
      </c>
      <c r="Q30" s="17" t="s">
        <v>143</v>
      </c>
    </row>
    <row r="31" spans="1:20" ht="58" customHeight="1">
      <c r="A31" s="26" t="s">
        <v>3</v>
      </c>
      <c r="B31" s="17" t="s">
        <v>7</v>
      </c>
      <c r="C31" s="17" t="s">
        <v>36</v>
      </c>
      <c r="D31" s="17" t="s">
        <v>13</v>
      </c>
      <c r="E31" s="30">
        <v>0</v>
      </c>
      <c r="F31" s="17" t="s">
        <v>134</v>
      </c>
      <c r="G31" s="17" t="s">
        <v>135</v>
      </c>
      <c r="H31" s="17" t="s">
        <v>144</v>
      </c>
      <c r="I31" s="27">
        <f>INDEX($F$6:$I$15,MATCH($C31,$B$6:$B$15,0),MATCH($D31,$F$5:$I$5,0))</f>
        <v>5</v>
      </c>
      <c r="J31" s="28">
        <f t="shared" si="1"/>
        <v>0.3</v>
      </c>
      <c r="K31" s="27">
        <f t="shared" si="2"/>
        <v>5</v>
      </c>
      <c r="L31" s="29">
        <f t="shared" si="3"/>
        <v>1.5</v>
      </c>
      <c r="N31" s="17" t="s">
        <v>3</v>
      </c>
      <c r="O31" s="17" t="s">
        <v>45</v>
      </c>
      <c r="P31" s="17" t="s">
        <v>107</v>
      </c>
      <c r="Q31" s="17" t="s">
        <v>145</v>
      </c>
    </row>
    <row r="32" spans="1:20" ht="58" customHeight="1">
      <c r="A32" s="26" t="s">
        <v>3</v>
      </c>
      <c r="B32" s="17" t="s">
        <v>7</v>
      </c>
      <c r="C32" s="17" t="s">
        <v>37</v>
      </c>
      <c r="D32" s="17" t="s">
        <v>10</v>
      </c>
      <c r="E32" s="30">
        <v>-0.5</v>
      </c>
      <c r="F32" s="17" t="s">
        <v>114</v>
      </c>
      <c r="G32" s="17" t="s">
        <v>23</v>
      </c>
      <c r="H32" s="17" t="s">
        <v>146</v>
      </c>
      <c r="I32" s="27">
        <f>INDEX($F$6:$I$15,MATCH($C32,$B$6:$B$15,0),MATCH($D32,$F$5:$I$5,0))</f>
        <v>4</v>
      </c>
      <c r="J32" s="28">
        <f t="shared" si="1"/>
        <v>0.2</v>
      </c>
      <c r="K32" s="27">
        <f t="shared" si="2"/>
        <v>3.5</v>
      </c>
      <c r="L32" s="29">
        <f t="shared" si="3"/>
        <v>0.70000000000000007</v>
      </c>
      <c r="N32" s="17" t="s">
        <v>73</v>
      </c>
      <c r="O32" s="17" t="s">
        <v>36</v>
      </c>
      <c r="P32" s="17" t="s">
        <v>147</v>
      </c>
      <c r="Q32" s="17" t="s">
        <v>148</v>
      </c>
    </row>
    <row r="33" spans="1:17" ht="58" customHeight="1">
      <c r="A33" s="26" t="s">
        <v>3</v>
      </c>
      <c r="B33" s="17" t="s">
        <v>7</v>
      </c>
      <c r="C33" s="17" t="s">
        <v>37</v>
      </c>
      <c r="D33" s="17" t="s">
        <v>11</v>
      </c>
      <c r="E33" s="30">
        <v>0</v>
      </c>
      <c r="F33" s="17" t="s">
        <v>134</v>
      </c>
      <c r="G33" s="17" t="s">
        <v>135</v>
      </c>
      <c r="H33" s="17" t="s">
        <v>149</v>
      </c>
      <c r="I33" s="27">
        <f>INDEX($F$6:$I$15,MATCH($C33,$B$6:$B$15,0),MATCH($D33,$F$5:$I$5,0))</f>
        <v>2</v>
      </c>
      <c r="J33" s="28">
        <f t="shared" si="1"/>
        <v>0.2</v>
      </c>
      <c r="K33" s="27">
        <f t="shared" si="2"/>
        <v>2</v>
      </c>
      <c r="L33" s="29">
        <f t="shared" si="3"/>
        <v>0.4</v>
      </c>
      <c r="N33" s="17" t="s">
        <v>73</v>
      </c>
      <c r="O33" s="17" t="s">
        <v>37</v>
      </c>
      <c r="P33" s="17" t="s">
        <v>150</v>
      </c>
      <c r="Q33" s="17" t="s">
        <v>151</v>
      </c>
    </row>
    <row r="34" spans="1:17" ht="58" customHeight="1">
      <c r="A34" s="26" t="s">
        <v>3</v>
      </c>
      <c r="B34" s="17" t="s">
        <v>7</v>
      </c>
      <c r="C34" s="17" t="s">
        <v>37</v>
      </c>
      <c r="D34" s="17" t="s">
        <v>12</v>
      </c>
      <c r="E34" s="30">
        <v>0</v>
      </c>
      <c r="F34" s="17" t="s">
        <v>134</v>
      </c>
      <c r="G34" s="17" t="s">
        <v>135</v>
      </c>
      <c r="H34" s="17" t="s">
        <v>152</v>
      </c>
      <c r="I34" s="27">
        <f>INDEX($F$6:$I$15,MATCH($C34,$B$6:$B$15,0),MATCH($D34,$F$5:$I$5,0))</f>
        <v>3</v>
      </c>
      <c r="J34" s="28">
        <f t="shared" si="1"/>
        <v>0.2</v>
      </c>
      <c r="K34" s="27">
        <f t="shared" si="2"/>
        <v>3</v>
      </c>
      <c r="L34" s="29">
        <f t="shared" si="3"/>
        <v>0.60000000000000009</v>
      </c>
      <c r="N34" s="17" t="s">
        <v>73</v>
      </c>
      <c r="O34" s="17" t="s">
        <v>38</v>
      </c>
      <c r="P34" s="17" t="s">
        <v>153</v>
      </c>
      <c r="Q34" s="17" t="s">
        <v>154</v>
      </c>
    </row>
    <row r="35" spans="1:17" ht="58" customHeight="1">
      <c r="A35" s="26" t="s">
        <v>3</v>
      </c>
      <c r="B35" s="17" t="s">
        <v>7</v>
      </c>
      <c r="C35" s="17" t="s">
        <v>37</v>
      </c>
      <c r="D35" s="17" t="s">
        <v>13</v>
      </c>
      <c r="E35" s="30">
        <v>0</v>
      </c>
      <c r="F35" s="17" t="s">
        <v>134</v>
      </c>
      <c r="G35" s="17" t="s">
        <v>135</v>
      </c>
      <c r="H35" s="17" t="s">
        <v>155</v>
      </c>
      <c r="I35" s="27">
        <f>INDEX($F$6:$I$15,MATCH($C35,$B$6:$B$15,0),MATCH($D35,$F$5:$I$5,0))</f>
        <v>1</v>
      </c>
      <c r="J35" s="28">
        <f t="shared" si="1"/>
        <v>0.2</v>
      </c>
      <c r="K35" s="27">
        <f t="shared" si="2"/>
        <v>1</v>
      </c>
      <c r="L35" s="29">
        <f t="shared" si="3"/>
        <v>0.2</v>
      </c>
      <c r="N35" s="17" t="s">
        <v>73</v>
      </c>
      <c r="O35" s="17" t="s">
        <v>39</v>
      </c>
      <c r="P35" s="17" t="s">
        <v>156</v>
      </c>
      <c r="Q35" s="17" t="s">
        <v>157</v>
      </c>
    </row>
    <row r="36" spans="1:17" ht="58" customHeight="1">
      <c r="A36" s="26" t="s">
        <v>3</v>
      </c>
      <c r="B36" s="17" t="s">
        <v>7</v>
      </c>
      <c r="C36" s="17" t="s">
        <v>38</v>
      </c>
      <c r="D36" s="17" t="s">
        <v>10</v>
      </c>
      <c r="E36" s="30">
        <v>0</v>
      </c>
      <c r="F36" s="17" t="s">
        <v>134</v>
      </c>
      <c r="G36" s="17" t="s">
        <v>135</v>
      </c>
      <c r="H36" s="17" t="s">
        <v>158</v>
      </c>
      <c r="I36" s="27">
        <f>INDEX($F$6:$I$15,MATCH($C36,$B$6:$B$15,0),MATCH($D36,$F$5:$I$5,0))</f>
        <v>1</v>
      </c>
      <c r="J36" s="28">
        <f t="shared" si="1"/>
        <v>0.2</v>
      </c>
      <c r="K36" s="27">
        <f t="shared" si="2"/>
        <v>1</v>
      </c>
      <c r="L36" s="29">
        <f t="shared" si="3"/>
        <v>0.2</v>
      </c>
      <c r="N36" s="17" t="s">
        <v>73</v>
      </c>
      <c r="O36" s="17" t="s">
        <v>40</v>
      </c>
      <c r="P36" s="17" t="s">
        <v>107</v>
      </c>
      <c r="Q36" s="17" t="s">
        <v>159</v>
      </c>
    </row>
    <row r="37" spans="1:17" ht="58" customHeight="1">
      <c r="A37" s="26" t="s">
        <v>3</v>
      </c>
      <c r="B37" s="17" t="s">
        <v>7</v>
      </c>
      <c r="C37" s="17" t="s">
        <v>38</v>
      </c>
      <c r="D37" s="17" t="s">
        <v>11</v>
      </c>
      <c r="E37" s="30">
        <v>0</v>
      </c>
      <c r="F37" s="17" t="s">
        <v>134</v>
      </c>
      <c r="G37" s="17" t="s">
        <v>135</v>
      </c>
      <c r="H37" s="17" t="s">
        <v>160</v>
      </c>
      <c r="I37" s="27">
        <f>INDEX($F$6:$I$15,MATCH($C37,$B$6:$B$15,0),MATCH($D37,$F$5:$I$5,0))</f>
        <v>5</v>
      </c>
      <c r="J37" s="28">
        <f t="shared" si="1"/>
        <v>0.2</v>
      </c>
      <c r="K37" s="27">
        <f t="shared" si="2"/>
        <v>5</v>
      </c>
      <c r="L37" s="29">
        <f t="shared" si="3"/>
        <v>1</v>
      </c>
      <c r="N37" s="17" t="s">
        <v>73</v>
      </c>
      <c r="O37" s="17" t="s">
        <v>41</v>
      </c>
      <c r="P37" s="17" t="s">
        <v>161</v>
      </c>
      <c r="Q37" s="17" t="s">
        <v>162</v>
      </c>
    </row>
    <row r="38" spans="1:17" ht="58" customHeight="1">
      <c r="A38" s="26" t="s">
        <v>3</v>
      </c>
      <c r="B38" s="17" t="s">
        <v>7</v>
      </c>
      <c r="C38" s="17" t="s">
        <v>38</v>
      </c>
      <c r="D38" s="17" t="s">
        <v>12</v>
      </c>
      <c r="E38" s="30">
        <v>0</v>
      </c>
      <c r="F38" s="17" t="s">
        <v>134</v>
      </c>
      <c r="G38" s="17" t="s">
        <v>135</v>
      </c>
      <c r="H38" s="17" t="s">
        <v>163</v>
      </c>
      <c r="I38" s="27">
        <f>INDEX($F$6:$I$15,MATCH($C38,$B$6:$B$15,0),MATCH($D38,$F$5:$I$5,0))</f>
        <v>3</v>
      </c>
      <c r="J38" s="28">
        <f t="shared" si="1"/>
        <v>0.2</v>
      </c>
      <c r="K38" s="27">
        <f t="shared" si="2"/>
        <v>3</v>
      </c>
      <c r="L38" s="29">
        <f t="shared" si="3"/>
        <v>0.60000000000000009</v>
      </c>
      <c r="N38" s="17" t="s">
        <v>73</v>
      </c>
      <c r="O38" s="17" t="s">
        <v>42</v>
      </c>
      <c r="P38" s="17" t="s">
        <v>164</v>
      </c>
      <c r="Q38" s="17" t="s">
        <v>165</v>
      </c>
    </row>
    <row r="39" spans="1:17" ht="58" customHeight="1">
      <c r="A39" s="26" t="s">
        <v>3</v>
      </c>
      <c r="B39" s="17" t="s">
        <v>7</v>
      </c>
      <c r="C39" s="17" t="s">
        <v>38</v>
      </c>
      <c r="D39" s="17" t="s">
        <v>13</v>
      </c>
      <c r="E39" s="30">
        <v>-0.5</v>
      </c>
      <c r="F39" s="17" t="s">
        <v>120</v>
      </c>
      <c r="G39" s="17" t="s">
        <v>23</v>
      </c>
      <c r="H39" s="17" t="s">
        <v>166</v>
      </c>
      <c r="I39" s="27">
        <f>INDEX($F$6:$I$15,MATCH($C39,$B$6:$B$15,0),MATCH($D39,$F$5:$I$5,0))</f>
        <v>2</v>
      </c>
      <c r="J39" s="28">
        <f t="shared" si="1"/>
        <v>0.2</v>
      </c>
      <c r="K39" s="27">
        <f t="shared" si="2"/>
        <v>1.5</v>
      </c>
      <c r="L39" s="29">
        <f t="shared" si="3"/>
        <v>0.30000000000000004</v>
      </c>
      <c r="N39" s="17" t="s">
        <v>73</v>
      </c>
      <c r="O39" s="17" t="s">
        <v>43</v>
      </c>
      <c r="P39" s="17" t="s">
        <v>167</v>
      </c>
      <c r="Q39" s="17" t="s">
        <v>168</v>
      </c>
    </row>
    <row r="40" spans="1:17" ht="58" customHeight="1">
      <c r="A40" s="26" t="s">
        <v>3</v>
      </c>
      <c r="B40" s="17" t="s">
        <v>7</v>
      </c>
      <c r="C40" s="17" t="s">
        <v>39</v>
      </c>
      <c r="D40" s="17" t="s">
        <v>10</v>
      </c>
      <c r="E40" s="30">
        <v>0</v>
      </c>
      <c r="F40" s="17" t="s">
        <v>134</v>
      </c>
      <c r="G40" s="17" t="s">
        <v>135</v>
      </c>
      <c r="H40" s="17" t="s">
        <v>169</v>
      </c>
      <c r="I40" s="27">
        <f>INDEX($F$6:$I$15,MATCH($C40,$B$6:$B$15,0),MATCH($D40,$F$5:$I$5,0))</f>
        <v>5</v>
      </c>
      <c r="J40" s="28">
        <f t="shared" si="1"/>
        <v>0.15</v>
      </c>
      <c r="K40" s="27">
        <f t="shared" si="2"/>
        <v>5</v>
      </c>
      <c r="L40" s="29">
        <f t="shared" si="3"/>
        <v>0.75</v>
      </c>
      <c r="N40" s="17" t="s">
        <v>73</v>
      </c>
      <c r="O40" s="17" t="s">
        <v>44</v>
      </c>
      <c r="P40" s="17" t="s">
        <v>107</v>
      </c>
      <c r="Q40" s="17" t="s">
        <v>170</v>
      </c>
    </row>
    <row r="41" spans="1:17" ht="58" customHeight="1">
      <c r="A41" s="26" t="s">
        <v>3</v>
      </c>
      <c r="B41" s="17" t="s">
        <v>7</v>
      </c>
      <c r="C41" s="17" t="s">
        <v>39</v>
      </c>
      <c r="D41" s="17" t="s">
        <v>11</v>
      </c>
      <c r="E41" s="30">
        <v>0</v>
      </c>
      <c r="F41" s="17" t="s">
        <v>134</v>
      </c>
      <c r="G41" s="17" t="s">
        <v>135</v>
      </c>
      <c r="H41" s="17" t="s">
        <v>171</v>
      </c>
      <c r="I41" s="27">
        <f>INDEX($F$6:$I$15,MATCH($C41,$B$6:$B$15,0),MATCH($D41,$F$5:$I$5,0))</f>
        <v>4</v>
      </c>
      <c r="J41" s="28">
        <f t="shared" si="1"/>
        <v>0.15</v>
      </c>
      <c r="K41" s="27">
        <f t="shared" si="2"/>
        <v>4</v>
      </c>
      <c r="L41" s="29">
        <f t="shared" si="3"/>
        <v>0.6</v>
      </c>
      <c r="N41" s="17" t="s">
        <v>73</v>
      </c>
      <c r="O41" s="17" t="s">
        <v>45</v>
      </c>
      <c r="P41" s="17" t="s">
        <v>107</v>
      </c>
      <c r="Q41" s="17" t="s">
        <v>172</v>
      </c>
    </row>
    <row r="42" spans="1:17" ht="58" customHeight="1">
      <c r="A42" s="26" t="s">
        <v>3</v>
      </c>
      <c r="B42" s="17" t="s">
        <v>7</v>
      </c>
      <c r="C42" s="17" t="s">
        <v>39</v>
      </c>
      <c r="D42" s="17" t="s">
        <v>12</v>
      </c>
      <c r="E42" s="30">
        <v>0.5</v>
      </c>
      <c r="F42" s="17" t="s">
        <v>122</v>
      </c>
      <c r="G42" s="17" t="s">
        <v>98</v>
      </c>
      <c r="H42" s="17" t="s">
        <v>173</v>
      </c>
      <c r="I42" s="27">
        <f>INDEX($F$6:$I$15,MATCH($C42,$B$6:$B$15,0),MATCH($D42,$F$5:$I$5,0))</f>
        <v>2</v>
      </c>
      <c r="J42" s="28">
        <f t="shared" si="1"/>
        <v>0.15</v>
      </c>
      <c r="K42" s="27">
        <f t="shared" si="2"/>
        <v>2.5</v>
      </c>
      <c r="L42" s="29">
        <f t="shared" si="3"/>
        <v>0.375</v>
      </c>
      <c r="N42" s="17" t="s">
        <v>84</v>
      </c>
      <c r="O42" s="17" t="s">
        <v>36</v>
      </c>
      <c r="P42" s="17" t="s">
        <v>174</v>
      </c>
      <c r="Q42" s="17" t="s">
        <v>175</v>
      </c>
    </row>
    <row r="43" spans="1:17" ht="58" customHeight="1">
      <c r="A43" s="26" t="s">
        <v>3</v>
      </c>
      <c r="B43" s="17" t="s">
        <v>7</v>
      </c>
      <c r="C43" s="17" t="s">
        <v>39</v>
      </c>
      <c r="D43" s="17" t="s">
        <v>13</v>
      </c>
      <c r="E43" s="30">
        <v>0</v>
      </c>
      <c r="F43" s="17" t="s">
        <v>134</v>
      </c>
      <c r="G43" s="17" t="s">
        <v>135</v>
      </c>
      <c r="H43" s="17" t="s">
        <v>176</v>
      </c>
      <c r="I43" s="27">
        <f>INDEX($F$6:$I$15,MATCH($C43,$B$6:$B$15,0),MATCH($D43,$F$5:$I$5,0))</f>
        <v>2</v>
      </c>
      <c r="J43" s="28">
        <f t="shared" si="1"/>
        <v>0.15</v>
      </c>
      <c r="K43" s="27">
        <f t="shared" si="2"/>
        <v>2</v>
      </c>
      <c r="L43" s="29">
        <f t="shared" si="3"/>
        <v>0.3</v>
      </c>
      <c r="N43" s="17" t="s">
        <v>84</v>
      </c>
      <c r="O43" s="17" t="s">
        <v>37</v>
      </c>
      <c r="P43" s="17" t="s">
        <v>177</v>
      </c>
      <c r="Q43" s="17" t="s">
        <v>178</v>
      </c>
    </row>
    <row r="44" spans="1:17" ht="58" customHeight="1">
      <c r="A44" s="26" t="s">
        <v>3</v>
      </c>
      <c r="B44" s="17" t="s">
        <v>7</v>
      </c>
      <c r="C44" s="17" t="s">
        <v>40</v>
      </c>
      <c r="D44" s="17" t="s">
        <v>10</v>
      </c>
      <c r="E44" s="30">
        <v>0</v>
      </c>
      <c r="F44" s="17" t="s">
        <v>134</v>
      </c>
      <c r="G44" s="17" t="s">
        <v>135</v>
      </c>
      <c r="H44" s="17" t="s">
        <v>179</v>
      </c>
      <c r="I44" s="27">
        <f>INDEX($F$6:$I$15,MATCH($C44,$B$6:$B$15,0),MATCH($D44,$F$5:$I$5,0))</f>
        <v>4</v>
      </c>
      <c r="J44" s="28">
        <f t="shared" si="1"/>
        <v>0.15</v>
      </c>
      <c r="K44" s="27">
        <f t="shared" si="2"/>
        <v>4</v>
      </c>
      <c r="L44" s="29">
        <f t="shared" si="3"/>
        <v>0.6</v>
      </c>
      <c r="N44" s="17" t="s">
        <v>84</v>
      </c>
      <c r="O44" s="17" t="s">
        <v>38</v>
      </c>
      <c r="P44" s="17" t="s">
        <v>180</v>
      </c>
      <c r="Q44" s="17" t="s">
        <v>181</v>
      </c>
    </row>
    <row r="45" spans="1:17" ht="58" customHeight="1">
      <c r="A45" s="26" t="s">
        <v>3</v>
      </c>
      <c r="B45" s="17" t="s">
        <v>7</v>
      </c>
      <c r="C45" s="17" t="s">
        <v>40</v>
      </c>
      <c r="D45" s="17" t="s">
        <v>11</v>
      </c>
      <c r="E45" s="30">
        <v>0</v>
      </c>
      <c r="F45" s="17" t="s">
        <v>134</v>
      </c>
      <c r="G45" s="17" t="s">
        <v>135</v>
      </c>
      <c r="H45" s="17" t="s">
        <v>182</v>
      </c>
      <c r="I45" s="27">
        <f>INDEX($F$6:$I$15,MATCH($C45,$B$6:$B$15,0),MATCH($D45,$F$5:$I$5,0))</f>
        <v>3</v>
      </c>
      <c r="J45" s="28">
        <f t="shared" si="1"/>
        <v>0.15</v>
      </c>
      <c r="K45" s="27">
        <f t="shared" si="2"/>
        <v>3</v>
      </c>
      <c r="L45" s="29">
        <f t="shared" si="3"/>
        <v>0.44999999999999996</v>
      </c>
      <c r="N45" s="17" t="s">
        <v>84</v>
      </c>
      <c r="O45" s="17" t="s">
        <v>39</v>
      </c>
      <c r="P45" s="17" t="s">
        <v>183</v>
      </c>
      <c r="Q45" s="17" t="s">
        <v>184</v>
      </c>
    </row>
    <row r="46" spans="1:17" ht="58" customHeight="1">
      <c r="A46" s="26" t="s">
        <v>3</v>
      </c>
      <c r="B46" s="17" t="s">
        <v>7</v>
      </c>
      <c r="C46" s="17" t="s">
        <v>40</v>
      </c>
      <c r="D46" s="17" t="s">
        <v>12</v>
      </c>
      <c r="E46" s="30">
        <v>0</v>
      </c>
      <c r="F46" s="17" t="s">
        <v>134</v>
      </c>
      <c r="G46" s="17" t="s">
        <v>135</v>
      </c>
      <c r="H46" s="17" t="s">
        <v>185</v>
      </c>
      <c r="I46" s="27">
        <f>INDEX($F$6:$I$15,MATCH($C46,$B$6:$B$15,0),MATCH($D46,$F$5:$I$5,0))</f>
        <v>2</v>
      </c>
      <c r="J46" s="28">
        <f t="shared" si="1"/>
        <v>0.15</v>
      </c>
      <c r="K46" s="27">
        <f t="shared" si="2"/>
        <v>2</v>
      </c>
      <c r="L46" s="29">
        <f t="shared" si="3"/>
        <v>0.3</v>
      </c>
      <c r="N46" s="17" t="s">
        <v>84</v>
      </c>
      <c r="O46" s="17" t="s">
        <v>40</v>
      </c>
      <c r="P46" s="17" t="s">
        <v>107</v>
      </c>
      <c r="Q46" s="17" t="s">
        <v>186</v>
      </c>
    </row>
    <row r="47" spans="1:17" ht="58" customHeight="1">
      <c r="A47" s="26" t="s">
        <v>3</v>
      </c>
      <c r="B47" s="17" t="s">
        <v>7</v>
      </c>
      <c r="C47" s="17" t="s">
        <v>40</v>
      </c>
      <c r="D47" s="17" t="s">
        <v>13</v>
      </c>
      <c r="E47" s="30">
        <v>0</v>
      </c>
      <c r="F47" s="17" t="s">
        <v>134</v>
      </c>
      <c r="G47" s="17" t="s">
        <v>135</v>
      </c>
      <c r="H47" s="17" t="s">
        <v>187</v>
      </c>
      <c r="I47" s="27">
        <f>INDEX($F$6:$I$15,MATCH($C47,$B$6:$B$15,0),MATCH($D47,$F$5:$I$5,0))</f>
        <v>5</v>
      </c>
      <c r="J47" s="28">
        <f t="shared" si="1"/>
        <v>0.15</v>
      </c>
      <c r="K47" s="27">
        <f t="shared" si="2"/>
        <v>5</v>
      </c>
      <c r="L47" s="29">
        <f t="shared" si="3"/>
        <v>0.75</v>
      </c>
      <c r="N47" s="17" t="s">
        <v>84</v>
      </c>
      <c r="O47" s="17" t="s">
        <v>41</v>
      </c>
      <c r="P47" s="17" t="s">
        <v>188</v>
      </c>
      <c r="Q47" s="17" t="s">
        <v>189</v>
      </c>
    </row>
    <row r="48" spans="1:17" ht="58" customHeight="1">
      <c r="A48" s="26" t="s">
        <v>3</v>
      </c>
      <c r="B48" s="17" t="s">
        <v>8</v>
      </c>
      <c r="C48" s="17" t="s">
        <v>41</v>
      </c>
      <c r="D48" s="17" t="s">
        <v>10</v>
      </c>
      <c r="E48" s="30">
        <v>0</v>
      </c>
      <c r="F48" s="17" t="s">
        <v>134</v>
      </c>
      <c r="G48" s="17" t="s">
        <v>135</v>
      </c>
      <c r="H48" s="17" t="s">
        <v>190</v>
      </c>
      <c r="I48" s="27">
        <f>INDEX($F$6:$I$15,MATCH($C48,$B$6:$B$15,0),MATCH($D48,$F$5:$I$5,0))</f>
        <v>2</v>
      </c>
      <c r="J48" s="28">
        <f t="shared" si="1"/>
        <v>0.3</v>
      </c>
      <c r="K48" s="27">
        <f t="shared" si="2"/>
        <v>2</v>
      </c>
      <c r="L48" s="29">
        <f t="shared" si="3"/>
        <v>0.6</v>
      </c>
      <c r="N48" s="17" t="s">
        <v>84</v>
      </c>
      <c r="O48" s="17" t="s">
        <v>42</v>
      </c>
      <c r="P48" s="17" t="s">
        <v>191</v>
      </c>
      <c r="Q48" s="17" t="s">
        <v>192</v>
      </c>
    </row>
    <row r="49" spans="1:20" ht="58" customHeight="1">
      <c r="A49" s="26" t="s">
        <v>3</v>
      </c>
      <c r="B49" s="17" t="s">
        <v>8</v>
      </c>
      <c r="C49" s="17" t="s">
        <v>41</v>
      </c>
      <c r="D49" s="17" t="s">
        <v>11</v>
      </c>
      <c r="E49" s="30">
        <v>0</v>
      </c>
      <c r="F49" s="17" t="s">
        <v>134</v>
      </c>
      <c r="G49" s="17" t="s">
        <v>135</v>
      </c>
      <c r="H49" s="17" t="s">
        <v>193</v>
      </c>
      <c r="I49" s="27">
        <f>INDEX($F$6:$I$15,MATCH($C49,$B$6:$B$15,0),MATCH($D49,$F$5:$I$5,0))</f>
        <v>5</v>
      </c>
      <c r="J49" s="28">
        <f t="shared" si="1"/>
        <v>0.3</v>
      </c>
      <c r="K49" s="27">
        <f t="shared" si="2"/>
        <v>5</v>
      </c>
      <c r="L49" s="29">
        <f t="shared" si="3"/>
        <v>1.5</v>
      </c>
      <c r="N49" s="17" t="s">
        <v>84</v>
      </c>
      <c r="O49" s="17" t="s">
        <v>43</v>
      </c>
      <c r="P49" s="17" t="s">
        <v>194</v>
      </c>
      <c r="Q49" s="17" t="s">
        <v>195</v>
      </c>
    </row>
    <row r="50" spans="1:20" ht="58" customHeight="1">
      <c r="A50" s="26" t="s">
        <v>3</v>
      </c>
      <c r="B50" s="17" t="s">
        <v>8</v>
      </c>
      <c r="C50" s="17" t="s">
        <v>41</v>
      </c>
      <c r="D50" s="17" t="s">
        <v>12</v>
      </c>
      <c r="E50" s="30">
        <v>0</v>
      </c>
      <c r="F50" s="17" t="s">
        <v>134</v>
      </c>
      <c r="G50" s="17" t="s">
        <v>135</v>
      </c>
      <c r="H50" s="17" t="s">
        <v>196</v>
      </c>
      <c r="I50" s="27">
        <f>INDEX($F$6:$I$15,MATCH($C50,$B$6:$B$15,0),MATCH($D50,$F$5:$I$5,0))</f>
        <v>4</v>
      </c>
      <c r="J50" s="28">
        <f t="shared" si="1"/>
        <v>0.3</v>
      </c>
      <c r="K50" s="27">
        <f t="shared" si="2"/>
        <v>4</v>
      </c>
      <c r="L50" s="29">
        <f t="shared" si="3"/>
        <v>1.2</v>
      </c>
      <c r="N50" s="17" t="s">
        <v>84</v>
      </c>
      <c r="O50" s="17" t="s">
        <v>44</v>
      </c>
      <c r="P50" s="17" t="s">
        <v>197</v>
      </c>
      <c r="Q50" s="17" t="s">
        <v>198</v>
      </c>
    </row>
    <row r="51" spans="1:20" ht="58" customHeight="1">
      <c r="A51" s="26" t="s">
        <v>3</v>
      </c>
      <c r="B51" s="17" t="s">
        <v>8</v>
      </c>
      <c r="C51" s="17" t="s">
        <v>41</v>
      </c>
      <c r="D51" s="17" t="s">
        <v>13</v>
      </c>
      <c r="E51" s="30">
        <v>0</v>
      </c>
      <c r="F51" s="17" t="s">
        <v>134</v>
      </c>
      <c r="G51" s="17" t="s">
        <v>135</v>
      </c>
      <c r="H51" s="17" t="s">
        <v>199</v>
      </c>
      <c r="I51" s="27">
        <f>INDEX($F$6:$I$15,MATCH($C51,$B$6:$B$15,0),MATCH($D51,$F$5:$I$5,0))</f>
        <v>2</v>
      </c>
      <c r="J51" s="28">
        <f t="shared" si="1"/>
        <v>0.3</v>
      </c>
      <c r="K51" s="27">
        <f t="shared" si="2"/>
        <v>2</v>
      </c>
      <c r="L51" s="29">
        <f t="shared" si="3"/>
        <v>0.6</v>
      </c>
      <c r="N51" s="17" t="s">
        <v>84</v>
      </c>
      <c r="O51" s="17" t="s">
        <v>45</v>
      </c>
      <c r="P51" s="17" t="s">
        <v>107</v>
      </c>
      <c r="Q51" s="17" t="s">
        <v>200</v>
      </c>
    </row>
    <row r="52" spans="1:20" ht="58" customHeight="1">
      <c r="A52" s="17" t="s">
        <v>3</v>
      </c>
      <c r="B52" s="17" t="s">
        <v>8</v>
      </c>
      <c r="C52" s="17" t="s">
        <v>42</v>
      </c>
      <c r="D52" s="17" t="s">
        <v>10</v>
      </c>
      <c r="E52" s="30">
        <v>0</v>
      </c>
      <c r="F52" s="17" t="s">
        <v>134</v>
      </c>
      <c r="G52" s="17" t="s">
        <v>135</v>
      </c>
      <c r="H52" s="17" t="s">
        <v>201</v>
      </c>
      <c r="I52" s="27">
        <f>INDEX($F$6:$I$15,MATCH($C52,$B$6:$B$15,0),MATCH($D52,$F$5:$I$5,0))</f>
        <v>1</v>
      </c>
      <c r="J52" s="28">
        <f t="shared" si="1"/>
        <v>0.2</v>
      </c>
      <c r="K52" s="27">
        <f t="shared" si="2"/>
        <v>1</v>
      </c>
      <c r="L52" s="29">
        <f t="shared" si="3"/>
        <v>0.2</v>
      </c>
    </row>
    <row r="53" spans="1:20" ht="58" customHeight="1">
      <c r="A53" s="17" t="s">
        <v>3</v>
      </c>
      <c r="B53" s="17" t="s">
        <v>8</v>
      </c>
      <c r="C53" s="17" t="s">
        <v>42</v>
      </c>
      <c r="D53" s="17" t="s">
        <v>11</v>
      </c>
      <c r="E53" s="30">
        <v>0</v>
      </c>
      <c r="F53" s="17" t="s">
        <v>134</v>
      </c>
      <c r="G53" s="17" t="s">
        <v>135</v>
      </c>
      <c r="H53" s="17" t="s">
        <v>202</v>
      </c>
      <c r="I53" s="27">
        <f>INDEX($F$6:$I$15,MATCH($C53,$B$6:$B$15,0),MATCH($D53,$F$5:$I$5,0))</f>
        <v>4</v>
      </c>
      <c r="J53" s="28">
        <f t="shared" si="1"/>
        <v>0.2</v>
      </c>
      <c r="K53" s="27">
        <f t="shared" si="2"/>
        <v>4</v>
      </c>
      <c r="L53" s="29">
        <f t="shared" si="3"/>
        <v>0.8</v>
      </c>
    </row>
    <row r="54" spans="1:20" ht="58" customHeight="1">
      <c r="A54" s="17" t="s">
        <v>3</v>
      </c>
      <c r="B54" s="17" t="s">
        <v>8</v>
      </c>
      <c r="C54" s="17" t="s">
        <v>42</v>
      </c>
      <c r="D54" s="17" t="s">
        <v>12</v>
      </c>
      <c r="E54" s="30">
        <v>0</v>
      </c>
      <c r="F54" s="17" t="s">
        <v>134</v>
      </c>
      <c r="G54" s="17" t="s">
        <v>135</v>
      </c>
      <c r="H54" s="17" t="s">
        <v>203</v>
      </c>
      <c r="I54" s="27">
        <f>INDEX($F$6:$I$15,MATCH($C54,$B$6:$B$15,0),MATCH($D54,$F$5:$I$5,0))</f>
        <v>3</v>
      </c>
      <c r="J54" s="28">
        <f t="shared" si="1"/>
        <v>0.2</v>
      </c>
      <c r="K54" s="27">
        <f t="shared" si="2"/>
        <v>3</v>
      </c>
      <c r="L54" s="29">
        <f t="shared" si="3"/>
        <v>0.60000000000000009</v>
      </c>
      <c r="N54" s="31" t="s">
        <v>204</v>
      </c>
      <c r="O54" s="31" t="s">
        <v>204</v>
      </c>
      <c r="P54" s="31" t="s">
        <v>204</v>
      </c>
      <c r="Q54" s="31" t="s">
        <v>204</v>
      </c>
      <c r="R54" s="31" t="s">
        <v>204</v>
      </c>
      <c r="S54" s="31" t="s">
        <v>204</v>
      </c>
      <c r="T54" s="31" t="s">
        <v>204</v>
      </c>
    </row>
    <row r="55" spans="1:20" ht="58" customHeight="1">
      <c r="A55" s="17" t="s">
        <v>3</v>
      </c>
      <c r="B55" s="17" t="s">
        <v>8</v>
      </c>
      <c r="C55" s="17" t="s">
        <v>42</v>
      </c>
      <c r="D55" s="17" t="s">
        <v>13</v>
      </c>
      <c r="E55" s="30">
        <v>0</v>
      </c>
      <c r="F55" s="17" t="s">
        <v>134</v>
      </c>
      <c r="G55" s="17" t="s">
        <v>135</v>
      </c>
      <c r="H55" s="17" t="s">
        <v>205</v>
      </c>
      <c r="I55" s="27">
        <f>INDEX($F$6:$I$15,MATCH($C55,$B$6:$B$15,0),MATCH($D55,$F$5:$I$5,0))</f>
        <v>1</v>
      </c>
      <c r="J55" s="28">
        <f t="shared" si="1"/>
        <v>0.2</v>
      </c>
      <c r="K55" s="27">
        <f t="shared" si="2"/>
        <v>1</v>
      </c>
      <c r="L55" s="29">
        <f t="shared" si="3"/>
        <v>0.2</v>
      </c>
      <c r="N55" s="63" t="s">
        <v>206</v>
      </c>
      <c r="O55" s="63"/>
      <c r="P55" s="63"/>
      <c r="Q55" s="63"/>
      <c r="R55" s="63"/>
      <c r="S55" s="63"/>
      <c r="T55" s="63"/>
    </row>
    <row r="56" spans="1:20" ht="58" customHeight="1">
      <c r="A56" s="17" t="s">
        <v>3</v>
      </c>
      <c r="B56" s="17" t="s">
        <v>8</v>
      </c>
      <c r="C56" s="17" t="s">
        <v>43</v>
      </c>
      <c r="D56" s="17" t="s">
        <v>10</v>
      </c>
      <c r="E56" s="30">
        <v>0</v>
      </c>
      <c r="F56" s="17" t="s">
        <v>134</v>
      </c>
      <c r="G56" s="17" t="s">
        <v>135</v>
      </c>
      <c r="H56" s="17" t="s">
        <v>207</v>
      </c>
      <c r="I56" s="27">
        <f>INDEX($F$6:$I$15,MATCH($C56,$B$6:$B$15,0),MATCH($D56,$F$5:$I$5,0))</f>
        <v>4</v>
      </c>
      <c r="J56" s="28">
        <f t="shared" si="1"/>
        <v>0.2</v>
      </c>
      <c r="K56" s="27">
        <f t="shared" si="2"/>
        <v>4</v>
      </c>
      <c r="L56" s="29">
        <f t="shared" si="3"/>
        <v>0.8</v>
      </c>
      <c r="N56" s="63" t="s">
        <v>208</v>
      </c>
      <c r="O56" s="63"/>
      <c r="P56" s="63"/>
      <c r="Q56" s="63"/>
      <c r="R56" s="63"/>
      <c r="S56" s="63"/>
      <c r="T56" s="63"/>
    </row>
    <row r="57" spans="1:20" ht="58" customHeight="1">
      <c r="A57" s="17" t="s">
        <v>3</v>
      </c>
      <c r="B57" s="17" t="s">
        <v>8</v>
      </c>
      <c r="C57" s="17" t="s">
        <v>43</v>
      </c>
      <c r="D57" s="17" t="s">
        <v>11</v>
      </c>
      <c r="E57" s="30">
        <v>0</v>
      </c>
      <c r="F57" s="17" t="s">
        <v>134</v>
      </c>
      <c r="G57" s="17" t="s">
        <v>135</v>
      </c>
      <c r="H57" s="17" t="s">
        <v>209</v>
      </c>
      <c r="I57" s="27">
        <f>INDEX($F$6:$I$15,MATCH($C57,$B$6:$B$15,0),MATCH($D57,$F$5:$I$5,0))</f>
        <v>3</v>
      </c>
      <c r="J57" s="28">
        <f t="shared" si="1"/>
        <v>0.2</v>
      </c>
      <c r="K57" s="27">
        <f t="shared" si="2"/>
        <v>3</v>
      </c>
      <c r="L57" s="29">
        <f t="shared" si="3"/>
        <v>0.60000000000000009</v>
      </c>
      <c r="N57" s="63" t="s">
        <v>210</v>
      </c>
      <c r="O57" s="63"/>
      <c r="P57" s="63"/>
      <c r="Q57" s="63"/>
      <c r="R57" s="63"/>
      <c r="S57" s="63"/>
      <c r="T57" s="63"/>
    </row>
    <row r="58" spans="1:20" ht="58" customHeight="1">
      <c r="A58" s="17" t="s">
        <v>3</v>
      </c>
      <c r="B58" s="17" t="s">
        <v>8</v>
      </c>
      <c r="C58" s="17" t="s">
        <v>43</v>
      </c>
      <c r="D58" s="17" t="s">
        <v>12</v>
      </c>
      <c r="E58" s="30">
        <v>0.5</v>
      </c>
      <c r="F58" s="17" t="s">
        <v>139</v>
      </c>
      <c r="G58" s="17" t="s">
        <v>98</v>
      </c>
      <c r="H58" s="17" t="s">
        <v>211</v>
      </c>
      <c r="I58" s="27">
        <f>INDEX($F$6:$I$15,MATCH($C58,$B$6:$B$15,0),MATCH($D58,$F$5:$I$5,0))</f>
        <v>2</v>
      </c>
      <c r="J58" s="28">
        <f t="shared" si="1"/>
        <v>0.2</v>
      </c>
      <c r="K58" s="27">
        <f t="shared" si="2"/>
        <v>2.5</v>
      </c>
      <c r="L58" s="29">
        <f t="shared" si="3"/>
        <v>0.5</v>
      </c>
      <c r="N58" s="63" t="s">
        <v>212</v>
      </c>
      <c r="O58" s="63"/>
      <c r="P58" s="63"/>
      <c r="Q58" s="63"/>
      <c r="R58" s="63"/>
      <c r="S58" s="63"/>
      <c r="T58" s="63"/>
    </row>
    <row r="59" spans="1:20" ht="58" customHeight="1">
      <c r="A59" s="17" t="s">
        <v>3</v>
      </c>
      <c r="B59" s="17" t="s">
        <v>8</v>
      </c>
      <c r="C59" s="17" t="s">
        <v>43</v>
      </c>
      <c r="D59" s="17" t="s">
        <v>13</v>
      </c>
      <c r="E59" s="30">
        <v>0</v>
      </c>
      <c r="F59" s="17" t="s">
        <v>134</v>
      </c>
      <c r="G59" s="17" t="s">
        <v>135</v>
      </c>
      <c r="H59" s="17" t="s">
        <v>213</v>
      </c>
      <c r="I59" s="27">
        <f>INDEX($F$6:$I$15,MATCH($C59,$B$6:$B$15,0),MATCH($D59,$F$5:$I$5,0))</f>
        <v>5</v>
      </c>
      <c r="J59" s="28">
        <f t="shared" si="1"/>
        <v>0.2</v>
      </c>
      <c r="K59" s="27">
        <f t="shared" si="2"/>
        <v>5</v>
      </c>
      <c r="L59" s="29">
        <f t="shared" si="3"/>
        <v>1</v>
      </c>
      <c r="N59" s="63" t="s">
        <v>214</v>
      </c>
      <c r="O59" s="63"/>
      <c r="P59" s="63"/>
      <c r="Q59" s="63"/>
      <c r="R59" s="63"/>
      <c r="S59" s="63"/>
      <c r="T59" s="63"/>
    </row>
    <row r="60" spans="1:20" ht="58" customHeight="1">
      <c r="A60" s="17" t="s">
        <v>3</v>
      </c>
      <c r="B60" s="17" t="s">
        <v>8</v>
      </c>
      <c r="C60" s="17" t="s">
        <v>44</v>
      </c>
      <c r="D60" s="17" t="s">
        <v>10</v>
      </c>
      <c r="E60" s="30">
        <v>0</v>
      </c>
      <c r="F60" s="17" t="s">
        <v>134</v>
      </c>
      <c r="G60" s="17" t="s">
        <v>135</v>
      </c>
      <c r="H60" s="17" t="s">
        <v>215</v>
      </c>
      <c r="I60" s="27">
        <f>INDEX($F$6:$I$15,MATCH($C60,$B$6:$B$15,0),MATCH($D60,$F$5:$I$5,0))</f>
        <v>3</v>
      </c>
      <c r="J60" s="28">
        <f t="shared" ref="J60:J91" si="4">INDEX($C$6:$C$15,MATCH($C60,$B$6:$B$15,0))</f>
        <v>0.15</v>
      </c>
      <c r="K60" s="27">
        <f t="shared" ref="K60:K91" si="5">MAX(1,MIN(5,I60+E60))</f>
        <v>3</v>
      </c>
      <c r="L60" s="29">
        <f t="shared" ref="L60:L91" si="6">J60*K60</f>
        <v>0.44999999999999996</v>
      </c>
    </row>
    <row r="61" spans="1:20" ht="58" customHeight="1">
      <c r="A61" s="17" t="s">
        <v>3</v>
      </c>
      <c r="B61" s="17" t="s">
        <v>8</v>
      </c>
      <c r="C61" s="17" t="s">
        <v>44</v>
      </c>
      <c r="D61" s="17" t="s">
        <v>11</v>
      </c>
      <c r="E61" s="30">
        <v>0</v>
      </c>
      <c r="F61" s="17" t="s">
        <v>134</v>
      </c>
      <c r="G61" s="17" t="s">
        <v>135</v>
      </c>
      <c r="H61" s="17" t="s">
        <v>216</v>
      </c>
      <c r="I61" s="27">
        <f>INDEX($F$6:$I$15,MATCH($C61,$B$6:$B$15,0),MATCH($D61,$F$5:$I$5,0))</f>
        <v>5</v>
      </c>
      <c r="J61" s="28">
        <f t="shared" si="4"/>
        <v>0.15</v>
      </c>
      <c r="K61" s="27">
        <f t="shared" si="5"/>
        <v>5</v>
      </c>
      <c r="L61" s="29">
        <f t="shared" si="6"/>
        <v>0.75</v>
      </c>
    </row>
    <row r="62" spans="1:20" ht="58" customHeight="1">
      <c r="A62" s="17" t="s">
        <v>3</v>
      </c>
      <c r="B62" s="17" t="s">
        <v>8</v>
      </c>
      <c r="C62" s="17" t="s">
        <v>44</v>
      </c>
      <c r="D62" s="17" t="s">
        <v>12</v>
      </c>
      <c r="E62" s="30">
        <v>0.5</v>
      </c>
      <c r="F62" s="17" t="s">
        <v>142</v>
      </c>
      <c r="G62" s="17" t="s">
        <v>98</v>
      </c>
      <c r="H62" s="17" t="s">
        <v>217</v>
      </c>
      <c r="I62" s="27">
        <f>INDEX($F$6:$I$15,MATCH($C62,$B$6:$B$15,0),MATCH($D62,$F$5:$I$5,0))</f>
        <v>2</v>
      </c>
      <c r="J62" s="28">
        <f t="shared" si="4"/>
        <v>0.15</v>
      </c>
      <c r="K62" s="27">
        <f t="shared" si="5"/>
        <v>2.5</v>
      </c>
      <c r="L62" s="29">
        <f t="shared" si="6"/>
        <v>0.375</v>
      </c>
    </row>
    <row r="63" spans="1:20" ht="58" customHeight="1">
      <c r="A63" s="17" t="s">
        <v>3</v>
      </c>
      <c r="B63" s="17" t="s">
        <v>8</v>
      </c>
      <c r="C63" s="17" t="s">
        <v>44</v>
      </c>
      <c r="D63" s="17" t="s">
        <v>13</v>
      </c>
      <c r="E63" s="30">
        <v>0</v>
      </c>
      <c r="F63" s="17" t="s">
        <v>134</v>
      </c>
      <c r="G63" s="17" t="s">
        <v>135</v>
      </c>
      <c r="H63" s="17" t="s">
        <v>218</v>
      </c>
      <c r="I63" s="27">
        <f>INDEX($F$6:$I$15,MATCH($C63,$B$6:$B$15,0),MATCH($D63,$F$5:$I$5,0))</f>
        <v>5</v>
      </c>
      <c r="J63" s="28">
        <f t="shared" si="4"/>
        <v>0.15</v>
      </c>
      <c r="K63" s="27">
        <f t="shared" si="5"/>
        <v>5</v>
      </c>
      <c r="L63" s="29">
        <f t="shared" si="6"/>
        <v>0.75</v>
      </c>
    </row>
    <row r="64" spans="1:20" ht="58" customHeight="1">
      <c r="A64" s="17" t="s">
        <v>3</v>
      </c>
      <c r="B64" s="17" t="s">
        <v>8</v>
      </c>
      <c r="C64" s="17" t="s">
        <v>45</v>
      </c>
      <c r="D64" s="17" t="s">
        <v>10</v>
      </c>
      <c r="E64" s="30">
        <v>0</v>
      </c>
      <c r="F64" s="17" t="s">
        <v>134</v>
      </c>
      <c r="G64" s="17" t="s">
        <v>135</v>
      </c>
      <c r="H64" s="17" t="s">
        <v>219</v>
      </c>
      <c r="I64" s="27">
        <f>INDEX($F$6:$I$15,MATCH($C64,$B$6:$B$15,0),MATCH($D64,$F$5:$I$5,0))</f>
        <v>3</v>
      </c>
      <c r="J64" s="28">
        <f t="shared" si="4"/>
        <v>0.15</v>
      </c>
      <c r="K64" s="27">
        <f t="shared" si="5"/>
        <v>3</v>
      </c>
      <c r="L64" s="29">
        <f t="shared" si="6"/>
        <v>0.44999999999999996</v>
      </c>
    </row>
    <row r="65" spans="1:12" ht="58" customHeight="1">
      <c r="A65" s="17" t="s">
        <v>3</v>
      </c>
      <c r="B65" s="17" t="s">
        <v>8</v>
      </c>
      <c r="C65" s="17" t="s">
        <v>45</v>
      </c>
      <c r="D65" s="17" t="s">
        <v>11</v>
      </c>
      <c r="E65" s="30">
        <v>0</v>
      </c>
      <c r="F65" s="17" t="s">
        <v>134</v>
      </c>
      <c r="G65" s="17" t="s">
        <v>135</v>
      </c>
      <c r="H65" s="17" t="s">
        <v>220</v>
      </c>
      <c r="I65" s="27">
        <f>INDEX($F$6:$I$15,MATCH($C65,$B$6:$B$15,0),MATCH($D65,$F$5:$I$5,0))</f>
        <v>4</v>
      </c>
      <c r="J65" s="28">
        <f t="shared" si="4"/>
        <v>0.15</v>
      </c>
      <c r="K65" s="27">
        <f t="shared" si="5"/>
        <v>4</v>
      </c>
      <c r="L65" s="29">
        <f t="shared" si="6"/>
        <v>0.6</v>
      </c>
    </row>
    <row r="66" spans="1:12" ht="58" customHeight="1">
      <c r="A66" s="17" t="s">
        <v>3</v>
      </c>
      <c r="B66" s="17" t="s">
        <v>8</v>
      </c>
      <c r="C66" s="17" t="s">
        <v>45</v>
      </c>
      <c r="D66" s="17" t="s">
        <v>12</v>
      </c>
      <c r="E66" s="30">
        <v>0</v>
      </c>
      <c r="F66" s="17" t="s">
        <v>134</v>
      </c>
      <c r="G66" s="17" t="s">
        <v>135</v>
      </c>
      <c r="H66" s="17" t="s">
        <v>221</v>
      </c>
      <c r="I66" s="27">
        <f>INDEX($F$6:$I$15,MATCH($C66,$B$6:$B$15,0),MATCH($D66,$F$5:$I$5,0))</f>
        <v>5</v>
      </c>
      <c r="J66" s="28">
        <f t="shared" si="4"/>
        <v>0.15</v>
      </c>
      <c r="K66" s="27">
        <f t="shared" si="5"/>
        <v>5</v>
      </c>
      <c r="L66" s="29">
        <f t="shared" si="6"/>
        <v>0.75</v>
      </c>
    </row>
    <row r="67" spans="1:12" ht="58" customHeight="1">
      <c r="A67" s="17" t="s">
        <v>3</v>
      </c>
      <c r="B67" s="17" t="s">
        <v>8</v>
      </c>
      <c r="C67" s="17" t="s">
        <v>45</v>
      </c>
      <c r="D67" s="17" t="s">
        <v>13</v>
      </c>
      <c r="E67" s="30">
        <v>0</v>
      </c>
      <c r="F67" s="17" t="s">
        <v>134</v>
      </c>
      <c r="G67" s="17" t="s">
        <v>135</v>
      </c>
      <c r="H67" s="17" t="s">
        <v>222</v>
      </c>
      <c r="I67" s="27">
        <f>INDEX($F$6:$I$15,MATCH($C67,$B$6:$B$15,0),MATCH($D67,$F$5:$I$5,0))</f>
        <v>1</v>
      </c>
      <c r="J67" s="28">
        <f t="shared" si="4"/>
        <v>0.15</v>
      </c>
      <c r="K67" s="27">
        <f t="shared" si="5"/>
        <v>1</v>
      </c>
      <c r="L67" s="29">
        <f t="shared" si="6"/>
        <v>0.15</v>
      </c>
    </row>
    <row r="68" spans="1:12" ht="58" customHeight="1">
      <c r="A68" s="17" t="s">
        <v>73</v>
      </c>
      <c r="B68" s="17" t="s">
        <v>7</v>
      </c>
      <c r="C68" s="17" t="s">
        <v>36</v>
      </c>
      <c r="D68" s="17" t="s">
        <v>10</v>
      </c>
      <c r="E68" s="30">
        <v>0</v>
      </c>
      <c r="F68" s="17" t="s">
        <v>134</v>
      </c>
      <c r="G68" s="17" t="s">
        <v>135</v>
      </c>
      <c r="H68" s="17" t="s">
        <v>223</v>
      </c>
      <c r="I68" s="27">
        <f>INDEX($F$6:$I$15,MATCH($C68,$B$6:$B$15,0),MATCH($D68,$F$5:$I$5,0))</f>
        <v>2</v>
      </c>
      <c r="J68" s="28">
        <f t="shared" si="4"/>
        <v>0.3</v>
      </c>
      <c r="K68" s="27">
        <f t="shared" si="5"/>
        <v>2</v>
      </c>
      <c r="L68" s="29">
        <f t="shared" si="6"/>
        <v>0.6</v>
      </c>
    </row>
    <row r="69" spans="1:12" ht="58" customHeight="1">
      <c r="A69" s="17" t="s">
        <v>73</v>
      </c>
      <c r="B69" s="17" t="s">
        <v>7</v>
      </c>
      <c r="C69" s="17" t="s">
        <v>36</v>
      </c>
      <c r="D69" s="17" t="s">
        <v>11</v>
      </c>
      <c r="E69" s="30">
        <v>0.5</v>
      </c>
      <c r="F69" s="17" t="s">
        <v>224</v>
      </c>
      <c r="G69" s="17" t="s">
        <v>23</v>
      </c>
      <c r="H69" s="17" t="s">
        <v>225</v>
      </c>
      <c r="I69" s="27">
        <f>INDEX($F$6:$I$15,MATCH($C69,$B$6:$B$15,0),MATCH($D69,$F$5:$I$5,0))</f>
        <v>4</v>
      </c>
      <c r="J69" s="28">
        <f t="shared" si="4"/>
        <v>0.3</v>
      </c>
      <c r="K69" s="27">
        <f t="shared" si="5"/>
        <v>4.5</v>
      </c>
      <c r="L69" s="29">
        <f t="shared" si="6"/>
        <v>1.3499999999999999</v>
      </c>
    </row>
    <row r="70" spans="1:12" ht="58" customHeight="1">
      <c r="A70" s="17" t="s">
        <v>73</v>
      </c>
      <c r="B70" s="17" t="s">
        <v>7</v>
      </c>
      <c r="C70" s="17" t="s">
        <v>36</v>
      </c>
      <c r="D70" s="17" t="s">
        <v>12</v>
      </c>
      <c r="E70" s="30">
        <v>0.5</v>
      </c>
      <c r="F70" s="17" t="s">
        <v>226</v>
      </c>
      <c r="G70" s="17" t="s">
        <v>23</v>
      </c>
      <c r="H70" s="17" t="s">
        <v>227</v>
      </c>
      <c r="I70" s="27">
        <f>INDEX($F$6:$I$15,MATCH($C70,$B$6:$B$15,0),MATCH($D70,$F$5:$I$5,0))</f>
        <v>4</v>
      </c>
      <c r="J70" s="28">
        <f t="shared" si="4"/>
        <v>0.3</v>
      </c>
      <c r="K70" s="27">
        <f t="shared" si="5"/>
        <v>4.5</v>
      </c>
      <c r="L70" s="29">
        <f t="shared" si="6"/>
        <v>1.3499999999999999</v>
      </c>
    </row>
    <row r="71" spans="1:12" ht="58" customHeight="1">
      <c r="A71" s="17" t="s">
        <v>73</v>
      </c>
      <c r="B71" s="17" t="s">
        <v>7</v>
      </c>
      <c r="C71" s="17" t="s">
        <v>36</v>
      </c>
      <c r="D71" s="17" t="s">
        <v>13</v>
      </c>
      <c r="E71" s="30">
        <v>0</v>
      </c>
      <c r="F71" s="17" t="s">
        <v>134</v>
      </c>
      <c r="G71" s="17" t="s">
        <v>135</v>
      </c>
      <c r="H71" s="17" t="s">
        <v>228</v>
      </c>
      <c r="I71" s="27">
        <f>INDEX($F$6:$I$15,MATCH($C71,$B$6:$B$15,0),MATCH($D71,$F$5:$I$5,0))</f>
        <v>5</v>
      </c>
      <c r="J71" s="28">
        <f t="shared" si="4"/>
        <v>0.3</v>
      </c>
      <c r="K71" s="27">
        <f t="shared" si="5"/>
        <v>5</v>
      </c>
      <c r="L71" s="29">
        <f t="shared" si="6"/>
        <v>1.5</v>
      </c>
    </row>
    <row r="72" spans="1:12" ht="58" customHeight="1">
      <c r="A72" s="17" t="s">
        <v>73</v>
      </c>
      <c r="B72" s="17" t="s">
        <v>7</v>
      </c>
      <c r="C72" s="17" t="s">
        <v>37</v>
      </c>
      <c r="D72" s="17" t="s">
        <v>10</v>
      </c>
      <c r="E72" s="30">
        <v>-0.5</v>
      </c>
      <c r="F72" s="17" t="s">
        <v>229</v>
      </c>
      <c r="G72" s="17" t="s">
        <v>230</v>
      </c>
      <c r="H72" s="17" t="s">
        <v>231</v>
      </c>
      <c r="I72" s="27">
        <f>INDEX($F$6:$I$15,MATCH($C72,$B$6:$B$15,0),MATCH($D72,$F$5:$I$5,0))</f>
        <v>4</v>
      </c>
      <c r="J72" s="28">
        <f t="shared" si="4"/>
        <v>0.2</v>
      </c>
      <c r="K72" s="27">
        <f t="shared" si="5"/>
        <v>3.5</v>
      </c>
      <c r="L72" s="29">
        <f t="shared" si="6"/>
        <v>0.70000000000000007</v>
      </c>
    </row>
    <row r="73" spans="1:12" ht="58" customHeight="1">
      <c r="A73" s="17" t="s">
        <v>73</v>
      </c>
      <c r="B73" s="17" t="s">
        <v>7</v>
      </c>
      <c r="C73" s="17" t="s">
        <v>37</v>
      </c>
      <c r="D73" s="17" t="s">
        <v>11</v>
      </c>
      <c r="E73" s="30">
        <v>0.5</v>
      </c>
      <c r="F73" s="17" t="s">
        <v>232</v>
      </c>
      <c r="G73" s="17" t="s">
        <v>23</v>
      </c>
      <c r="H73" s="17" t="s">
        <v>233</v>
      </c>
      <c r="I73" s="27">
        <f>INDEX($F$6:$I$15,MATCH($C73,$B$6:$B$15,0),MATCH($D73,$F$5:$I$5,0))</f>
        <v>2</v>
      </c>
      <c r="J73" s="28">
        <f t="shared" si="4"/>
        <v>0.2</v>
      </c>
      <c r="K73" s="27">
        <f t="shared" si="5"/>
        <v>2.5</v>
      </c>
      <c r="L73" s="29">
        <f t="shared" si="6"/>
        <v>0.5</v>
      </c>
    </row>
    <row r="74" spans="1:12" ht="58" customHeight="1">
      <c r="A74" s="17" t="s">
        <v>73</v>
      </c>
      <c r="B74" s="17" t="s">
        <v>7</v>
      </c>
      <c r="C74" s="17" t="s">
        <v>37</v>
      </c>
      <c r="D74" s="17" t="s">
        <v>12</v>
      </c>
      <c r="E74" s="30">
        <v>-0.5</v>
      </c>
      <c r="F74" s="17" t="s">
        <v>234</v>
      </c>
      <c r="G74" s="17" t="s">
        <v>98</v>
      </c>
      <c r="H74" s="17" t="s">
        <v>235</v>
      </c>
      <c r="I74" s="27">
        <f>INDEX($F$6:$I$15,MATCH($C74,$B$6:$B$15,0),MATCH($D74,$F$5:$I$5,0))</f>
        <v>3</v>
      </c>
      <c r="J74" s="28">
        <f t="shared" si="4"/>
        <v>0.2</v>
      </c>
      <c r="K74" s="27">
        <f t="shared" si="5"/>
        <v>2.5</v>
      </c>
      <c r="L74" s="29">
        <f t="shared" si="6"/>
        <v>0.5</v>
      </c>
    </row>
    <row r="75" spans="1:12" ht="58" customHeight="1">
      <c r="A75" s="17" t="s">
        <v>73</v>
      </c>
      <c r="B75" s="17" t="s">
        <v>7</v>
      </c>
      <c r="C75" s="17" t="s">
        <v>37</v>
      </c>
      <c r="D75" s="17" t="s">
        <v>13</v>
      </c>
      <c r="E75" s="30">
        <v>0</v>
      </c>
      <c r="F75" s="17" t="s">
        <v>134</v>
      </c>
      <c r="G75" s="17" t="s">
        <v>135</v>
      </c>
      <c r="H75" s="17" t="s">
        <v>236</v>
      </c>
      <c r="I75" s="27">
        <f>INDEX($F$6:$I$15,MATCH($C75,$B$6:$B$15,0),MATCH($D75,$F$5:$I$5,0))</f>
        <v>1</v>
      </c>
      <c r="J75" s="28">
        <f t="shared" si="4"/>
        <v>0.2</v>
      </c>
      <c r="K75" s="27">
        <f t="shared" si="5"/>
        <v>1</v>
      </c>
      <c r="L75" s="29">
        <f t="shared" si="6"/>
        <v>0.2</v>
      </c>
    </row>
    <row r="76" spans="1:12" ht="58" customHeight="1">
      <c r="A76" s="17" t="s">
        <v>73</v>
      </c>
      <c r="B76" s="17" t="s">
        <v>7</v>
      </c>
      <c r="C76" s="17" t="s">
        <v>38</v>
      </c>
      <c r="D76" s="17" t="s">
        <v>10</v>
      </c>
      <c r="E76" s="30">
        <v>0</v>
      </c>
      <c r="F76" s="17" t="s">
        <v>134</v>
      </c>
      <c r="G76" s="17" t="s">
        <v>135</v>
      </c>
      <c r="H76" s="17" t="s">
        <v>237</v>
      </c>
      <c r="I76" s="27">
        <f>INDEX($F$6:$I$15,MATCH($C76,$B$6:$B$15,0),MATCH($D76,$F$5:$I$5,0))</f>
        <v>1</v>
      </c>
      <c r="J76" s="28">
        <f t="shared" si="4"/>
        <v>0.2</v>
      </c>
      <c r="K76" s="27">
        <f t="shared" si="5"/>
        <v>1</v>
      </c>
      <c r="L76" s="29">
        <f t="shared" si="6"/>
        <v>0.2</v>
      </c>
    </row>
    <row r="77" spans="1:12" ht="58" customHeight="1">
      <c r="A77" s="17" t="s">
        <v>73</v>
      </c>
      <c r="B77" s="17" t="s">
        <v>7</v>
      </c>
      <c r="C77" s="17" t="s">
        <v>38</v>
      </c>
      <c r="D77" s="17" t="s">
        <v>11</v>
      </c>
      <c r="E77" s="30">
        <v>0.5</v>
      </c>
      <c r="F77" s="17" t="s">
        <v>238</v>
      </c>
      <c r="G77" s="17" t="s">
        <v>23</v>
      </c>
      <c r="H77" s="17" t="s">
        <v>239</v>
      </c>
      <c r="I77" s="27">
        <f>INDEX($F$6:$I$15,MATCH($C77,$B$6:$B$15,0),MATCH($D77,$F$5:$I$5,0))</f>
        <v>5</v>
      </c>
      <c r="J77" s="28">
        <f t="shared" si="4"/>
        <v>0.2</v>
      </c>
      <c r="K77" s="27">
        <f t="shared" si="5"/>
        <v>5</v>
      </c>
      <c r="L77" s="29">
        <f t="shared" si="6"/>
        <v>1</v>
      </c>
    </row>
    <row r="78" spans="1:12" ht="58" customHeight="1">
      <c r="A78" s="17" t="s">
        <v>73</v>
      </c>
      <c r="B78" s="17" t="s">
        <v>7</v>
      </c>
      <c r="C78" s="17" t="s">
        <v>38</v>
      </c>
      <c r="D78" s="17" t="s">
        <v>12</v>
      </c>
      <c r="E78" s="30">
        <v>0</v>
      </c>
      <c r="F78" s="17" t="s">
        <v>134</v>
      </c>
      <c r="G78" s="17" t="s">
        <v>135</v>
      </c>
      <c r="H78" s="17" t="s">
        <v>240</v>
      </c>
      <c r="I78" s="27">
        <f>INDEX($F$6:$I$15,MATCH($C78,$B$6:$B$15,0),MATCH($D78,$F$5:$I$5,0))</f>
        <v>3</v>
      </c>
      <c r="J78" s="28">
        <f t="shared" si="4"/>
        <v>0.2</v>
      </c>
      <c r="K78" s="27">
        <f t="shared" si="5"/>
        <v>3</v>
      </c>
      <c r="L78" s="29">
        <f t="shared" si="6"/>
        <v>0.60000000000000009</v>
      </c>
    </row>
    <row r="79" spans="1:12" ht="58" customHeight="1">
      <c r="A79" s="17" t="s">
        <v>73</v>
      </c>
      <c r="B79" s="17" t="s">
        <v>7</v>
      </c>
      <c r="C79" s="17" t="s">
        <v>38</v>
      </c>
      <c r="D79" s="17" t="s">
        <v>13</v>
      </c>
      <c r="E79" s="30">
        <v>-0.5</v>
      </c>
      <c r="F79" s="17" t="s">
        <v>241</v>
      </c>
      <c r="G79" s="17" t="s">
        <v>23</v>
      </c>
      <c r="H79" s="17" t="s">
        <v>242</v>
      </c>
      <c r="I79" s="27">
        <f>INDEX($F$6:$I$15,MATCH($C79,$B$6:$B$15,0),MATCH($D79,$F$5:$I$5,0))</f>
        <v>2</v>
      </c>
      <c r="J79" s="28">
        <f t="shared" si="4"/>
        <v>0.2</v>
      </c>
      <c r="K79" s="27">
        <f t="shared" si="5"/>
        <v>1.5</v>
      </c>
      <c r="L79" s="29">
        <f t="shared" si="6"/>
        <v>0.30000000000000004</v>
      </c>
    </row>
    <row r="80" spans="1:12" ht="58" customHeight="1">
      <c r="A80" s="17" t="s">
        <v>73</v>
      </c>
      <c r="B80" s="17" t="s">
        <v>7</v>
      </c>
      <c r="C80" s="17" t="s">
        <v>39</v>
      </c>
      <c r="D80" s="17" t="s">
        <v>10</v>
      </c>
      <c r="E80" s="30">
        <v>0</v>
      </c>
      <c r="F80" s="17" t="s">
        <v>134</v>
      </c>
      <c r="G80" s="17" t="s">
        <v>135</v>
      </c>
      <c r="H80" s="17" t="s">
        <v>243</v>
      </c>
      <c r="I80" s="27">
        <f>INDEX($F$6:$I$15,MATCH($C80,$B$6:$B$15,0),MATCH($D80,$F$5:$I$5,0))</f>
        <v>5</v>
      </c>
      <c r="J80" s="28">
        <f t="shared" si="4"/>
        <v>0.15</v>
      </c>
      <c r="K80" s="27">
        <f t="shared" si="5"/>
        <v>5</v>
      </c>
      <c r="L80" s="29">
        <f t="shared" si="6"/>
        <v>0.75</v>
      </c>
    </row>
    <row r="81" spans="1:12" ht="58" customHeight="1">
      <c r="A81" s="17" t="s">
        <v>73</v>
      </c>
      <c r="B81" s="17" t="s">
        <v>7</v>
      </c>
      <c r="C81" s="17" t="s">
        <v>39</v>
      </c>
      <c r="D81" s="17" t="s">
        <v>11</v>
      </c>
      <c r="E81" s="30">
        <v>0.5</v>
      </c>
      <c r="F81" s="17" t="s">
        <v>156</v>
      </c>
      <c r="G81" s="17" t="s">
        <v>98</v>
      </c>
      <c r="H81" s="17" t="s">
        <v>244</v>
      </c>
      <c r="I81" s="27">
        <f>INDEX($F$6:$I$15,MATCH($C81,$B$6:$B$15,0),MATCH($D81,$F$5:$I$5,0))</f>
        <v>4</v>
      </c>
      <c r="J81" s="28">
        <f t="shared" si="4"/>
        <v>0.15</v>
      </c>
      <c r="K81" s="27">
        <f t="shared" si="5"/>
        <v>4.5</v>
      </c>
      <c r="L81" s="29">
        <f t="shared" si="6"/>
        <v>0.67499999999999993</v>
      </c>
    </row>
    <row r="82" spans="1:12" ht="58" customHeight="1">
      <c r="A82" s="17" t="s">
        <v>73</v>
      </c>
      <c r="B82" s="17" t="s">
        <v>7</v>
      </c>
      <c r="C82" s="17" t="s">
        <v>39</v>
      </c>
      <c r="D82" s="17" t="s">
        <v>12</v>
      </c>
      <c r="E82" s="30">
        <v>0</v>
      </c>
      <c r="F82" s="17" t="s">
        <v>134</v>
      </c>
      <c r="G82" s="17" t="s">
        <v>135</v>
      </c>
      <c r="H82" s="17" t="s">
        <v>245</v>
      </c>
      <c r="I82" s="27">
        <f>INDEX($F$6:$I$15,MATCH($C82,$B$6:$B$15,0),MATCH($D82,$F$5:$I$5,0))</f>
        <v>2</v>
      </c>
      <c r="J82" s="28">
        <f t="shared" si="4"/>
        <v>0.15</v>
      </c>
      <c r="K82" s="27">
        <f t="shared" si="5"/>
        <v>2</v>
      </c>
      <c r="L82" s="29">
        <f t="shared" si="6"/>
        <v>0.3</v>
      </c>
    </row>
    <row r="83" spans="1:12" ht="58" customHeight="1">
      <c r="A83" s="17" t="s">
        <v>73</v>
      </c>
      <c r="B83" s="17" t="s">
        <v>7</v>
      </c>
      <c r="C83" s="17" t="s">
        <v>39</v>
      </c>
      <c r="D83" s="17" t="s">
        <v>13</v>
      </c>
      <c r="E83" s="30">
        <v>0</v>
      </c>
      <c r="F83" s="17" t="s">
        <v>134</v>
      </c>
      <c r="G83" s="17" t="s">
        <v>135</v>
      </c>
      <c r="H83" s="17" t="s">
        <v>246</v>
      </c>
      <c r="I83" s="27">
        <f>INDEX($F$6:$I$15,MATCH($C83,$B$6:$B$15,0),MATCH($D83,$F$5:$I$5,0))</f>
        <v>2</v>
      </c>
      <c r="J83" s="28">
        <f t="shared" si="4"/>
        <v>0.15</v>
      </c>
      <c r="K83" s="27">
        <f t="shared" si="5"/>
        <v>2</v>
      </c>
      <c r="L83" s="29">
        <f t="shared" si="6"/>
        <v>0.3</v>
      </c>
    </row>
    <row r="84" spans="1:12" ht="58" customHeight="1">
      <c r="A84" s="17" t="s">
        <v>73</v>
      </c>
      <c r="B84" s="17" t="s">
        <v>7</v>
      </c>
      <c r="C84" s="17" t="s">
        <v>40</v>
      </c>
      <c r="D84" s="17" t="s">
        <v>10</v>
      </c>
      <c r="E84" s="30">
        <v>0</v>
      </c>
      <c r="F84" s="17" t="s">
        <v>134</v>
      </c>
      <c r="G84" s="17" t="s">
        <v>135</v>
      </c>
      <c r="H84" s="17" t="s">
        <v>247</v>
      </c>
      <c r="I84" s="27">
        <f>INDEX($F$6:$I$15,MATCH($C84,$B$6:$B$15,0),MATCH($D84,$F$5:$I$5,0))</f>
        <v>4</v>
      </c>
      <c r="J84" s="28">
        <f t="shared" si="4"/>
        <v>0.15</v>
      </c>
      <c r="K84" s="27">
        <f t="shared" si="5"/>
        <v>4</v>
      </c>
      <c r="L84" s="29">
        <f t="shared" si="6"/>
        <v>0.6</v>
      </c>
    </row>
    <row r="85" spans="1:12" ht="58" customHeight="1">
      <c r="A85" s="17" t="s">
        <v>73</v>
      </c>
      <c r="B85" s="17" t="s">
        <v>7</v>
      </c>
      <c r="C85" s="17" t="s">
        <v>40</v>
      </c>
      <c r="D85" s="17" t="s">
        <v>11</v>
      </c>
      <c r="E85" s="30">
        <v>0</v>
      </c>
      <c r="F85" s="17" t="s">
        <v>134</v>
      </c>
      <c r="G85" s="17" t="s">
        <v>135</v>
      </c>
      <c r="H85" s="17" t="s">
        <v>248</v>
      </c>
      <c r="I85" s="27">
        <f>INDEX($F$6:$I$15,MATCH($C85,$B$6:$B$15,0),MATCH($D85,$F$5:$I$5,0))</f>
        <v>3</v>
      </c>
      <c r="J85" s="28">
        <f t="shared" si="4"/>
        <v>0.15</v>
      </c>
      <c r="K85" s="27">
        <f t="shared" si="5"/>
        <v>3</v>
      </c>
      <c r="L85" s="29">
        <f t="shared" si="6"/>
        <v>0.44999999999999996</v>
      </c>
    </row>
    <row r="86" spans="1:12" ht="58" customHeight="1">
      <c r="A86" s="17" t="s">
        <v>73</v>
      </c>
      <c r="B86" s="17" t="s">
        <v>7</v>
      </c>
      <c r="C86" s="17" t="s">
        <v>40</v>
      </c>
      <c r="D86" s="17" t="s">
        <v>12</v>
      </c>
      <c r="E86" s="30">
        <v>0</v>
      </c>
      <c r="F86" s="17" t="s">
        <v>134</v>
      </c>
      <c r="G86" s="17" t="s">
        <v>135</v>
      </c>
      <c r="H86" s="17" t="s">
        <v>249</v>
      </c>
      <c r="I86" s="27">
        <f>INDEX($F$6:$I$15,MATCH($C86,$B$6:$B$15,0),MATCH($D86,$F$5:$I$5,0))</f>
        <v>2</v>
      </c>
      <c r="J86" s="28">
        <f t="shared" si="4"/>
        <v>0.15</v>
      </c>
      <c r="K86" s="27">
        <f t="shared" si="5"/>
        <v>2</v>
      </c>
      <c r="L86" s="29">
        <f t="shared" si="6"/>
        <v>0.3</v>
      </c>
    </row>
    <row r="87" spans="1:12" ht="58" customHeight="1">
      <c r="A87" s="17" t="s">
        <v>73</v>
      </c>
      <c r="B87" s="17" t="s">
        <v>7</v>
      </c>
      <c r="C87" s="17" t="s">
        <v>40</v>
      </c>
      <c r="D87" s="17" t="s">
        <v>13</v>
      </c>
      <c r="E87" s="30">
        <v>0</v>
      </c>
      <c r="F87" s="17" t="s">
        <v>134</v>
      </c>
      <c r="G87" s="17" t="s">
        <v>135</v>
      </c>
      <c r="H87" s="17" t="s">
        <v>250</v>
      </c>
      <c r="I87" s="27">
        <f>INDEX($F$6:$I$15,MATCH($C87,$B$6:$B$15,0),MATCH($D87,$F$5:$I$5,0))</f>
        <v>5</v>
      </c>
      <c r="J87" s="28">
        <f t="shared" si="4"/>
        <v>0.15</v>
      </c>
      <c r="K87" s="27">
        <f t="shared" si="5"/>
        <v>5</v>
      </c>
      <c r="L87" s="29">
        <f t="shared" si="6"/>
        <v>0.75</v>
      </c>
    </row>
    <row r="88" spans="1:12" ht="58" customHeight="1">
      <c r="A88" s="17" t="s">
        <v>73</v>
      </c>
      <c r="B88" s="17" t="s">
        <v>8</v>
      </c>
      <c r="C88" s="17" t="s">
        <v>41</v>
      </c>
      <c r="D88" s="17" t="s">
        <v>10</v>
      </c>
      <c r="E88" s="30">
        <v>0</v>
      </c>
      <c r="F88" s="17" t="s">
        <v>134</v>
      </c>
      <c r="G88" s="17" t="s">
        <v>135</v>
      </c>
      <c r="H88" s="17" t="s">
        <v>251</v>
      </c>
      <c r="I88" s="27">
        <f>INDEX($F$6:$I$15,MATCH($C88,$B$6:$B$15,0),MATCH($D88,$F$5:$I$5,0))</f>
        <v>2</v>
      </c>
      <c r="J88" s="28">
        <f t="shared" si="4"/>
        <v>0.3</v>
      </c>
      <c r="K88" s="27">
        <f t="shared" si="5"/>
        <v>2</v>
      </c>
      <c r="L88" s="29">
        <f t="shared" si="6"/>
        <v>0.6</v>
      </c>
    </row>
    <row r="89" spans="1:12" ht="58" customHeight="1">
      <c r="A89" s="17" t="s">
        <v>73</v>
      </c>
      <c r="B89" s="17" t="s">
        <v>8</v>
      </c>
      <c r="C89" s="17" t="s">
        <v>41</v>
      </c>
      <c r="D89" s="17" t="s">
        <v>11</v>
      </c>
      <c r="E89" s="30">
        <v>0.5</v>
      </c>
      <c r="F89" s="17" t="s">
        <v>252</v>
      </c>
      <c r="G89" s="17" t="s">
        <v>98</v>
      </c>
      <c r="H89" s="17" t="s">
        <v>253</v>
      </c>
      <c r="I89" s="27">
        <f>INDEX($F$6:$I$15,MATCH($C89,$B$6:$B$15,0),MATCH($D89,$F$5:$I$5,0))</f>
        <v>5</v>
      </c>
      <c r="J89" s="28">
        <f t="shared" si="4"/>
        <v>0.3</v>
      </c>
      <c r="K89" s="27">
        <f t="shared" si="5"/>
        <v>5</v>
      </c>
      <c r="L89" s="29">
        <f t="shared" si="6"/>
        <v>1.5</v>
      </c>
    </row>
    <row r="90" spans="1:12" ht="58" customHeight="1">
      <c r="A90" s="17" t="s">
        <v>73</v>
      </c>
      <c r="B90" s="17" t="s">
        <v>8</v>
      </c>
      <c r="C90" s="17" t="s">
        <v>41</v>
      </c>
      <c r="D90" s="17" t="s">
        <v>12</v>
      </c>
      <c r="E90" s="30">
        <v>0.5</v>
      </c>
      <c r="F90" s="17" t="s">
        <v>254</v>
      </c>
      <c r="G90" s="17" t="s">
        <v>255</v>
      </c>
      <c r="H90" s="17" t="s">
        <v>256</v>
      </c>
      <c r="I90" s="27">
        <f>INDEX($F$6:$I$15,MATCH($C90,$B$6:$B$15,0),MATCH($D90,$F$5:$I$5,0))</f>
        <v>4</v>
      </c>
      <c r="J90" s="28">
        <f t="shared" si="4"/>
        <v>0.3</v>
      </c>
      <c r="K90" s="27">
        <f t="shared" si="5"/>
        <v>4.5</v>
      </c>
      <c r="L90" s="29">
        <f t="shared" si="6"/>
        <v>1.3499999999999999</v>
      </c>
    </row>
    <row r="91" spans="1:12" ht="58" customHeight="1">
      <c r="A91" s="17" t="s">
        <v>73</v>
      </c>
      <c r="B91" s="17" t="s">
        <v>8</v>
      </c>
      <c r="C91" s="17" t="s">
        <v>41</v>
      </c>
      <c r="D91" s="17" t="s">
        <v>13</v>
      </c>
      <c r="E91" s="30">
        <v>0</v>
      </c>
      <c r="F91" s="17" t="s">
        <v>134</v>
      </c>
      <c r="G91" s="17" t="s">
        <v>135</v>
      </c>
      <c r="H91" s="17" t="s">
        <v>257</v>
      </c>
      <c r="I91" s="27">
        <f>INDEX($F$6:$I$15,MATCH($C91,$B$6:$B$15,0),MATCH($D91,$F$5:$I$5,0))</f>
        <v>2</v>
      </c>
      <c r="J91" s="28">
        <f t="shared" si="4"/>
        <v>0.3</v>
      </c>
      <c r="K91" s="27">
        <f t="shared" si="5"/>
        <v>2</v>
      </c>
      <c r="L91" s="29">
        <f t="shared" si="6"/>
        <v>0.6</v>
      </c>
    </row>
    <row r="92" spans="1:12" ht="58" customHeight="1">
      <c r="A92" s="17" t="s">
        <v>73</v>
      </c>
      <c r="B92" s="17" t="s">
        <v>8</v>
      </c>
      <c r="C92" s="17" t="s">
        <v>42</v>
      </c>
      <c r="D92" s="17" t="s">
        <v>10</v>
      </c>
      <c r="E92" s="30">
        <v>0</v>
      </c>
      <c r="F92" s="17" t="s">
        <v>134</v>
      </c>
      <c r="G92" s="17" t="s">
        <v>135</v>
      </c>
      <c r="H92" s="17" t="s">
        <v>258</v>
      </c>
      <c r="I92" s="27">
        <f>INDEX($F$6:$I$15,MATCH($C92,$B$6:$B$15,0),MATCH($D92,$F$5:$I$5,0))</f>
        <v>1</v>
      </c>
      <c r="J92" s="28">
        <f t="shared" ref="J92:J123" si="7">INDEX($C$6:$C$15,MATCH($C92,$B$6:$B$15,0))</f>
        <v>0.2</v>
      </c>
      <c r="K92" s="27">
        <f t="shared" ref="K92:K123" si="8">MAX(1,MIN(5,I92+E92))</f>
        <v>1</v>
      </c>
      <c r="L92" s="29">
        <f t="shared" ref="L92:L123" si="9">J92*K92</f>
        <v>0.2</v>
      </c>
    </row>
    <row r="93" spans="1:12" ht="58" customHeight="1">
      <c r="A93" s="17" t="s">
        <v>73</v>
      </c>
      <c r="B93" s="17" t="s">
        <v>8</v>
      </c>
      <c r="C93" s="17" t="s">
        <v>42</v>
      </c>
      <c r="D93" s="17" t="s">
        <v>11</v>
      </c>
      <c r="E93" s="30">
        <v>0.5</v>
      </c>
      <c r="F93" s="17" t="s">
        <v>164</v>
      </c>
      <c r="G93" s="17" t="s">
        <v>98</v>
      </c>
      <c r="H93" s="17" t="s">
        <v>259</v>
      </c>
      <c r="I93" s="27">
        <f>INDEX($F$6:$I$15,MATCH($C93,$B$6:$B$15,0),MATCH($D93,$F$5:$I$5,0))</f>
        <v>4</v>
      </c>
      <c r="J93" s="28">
        <f t="shared" si="7"/>
        <v>0.2</v>
      </c>
      <c r="K93" s="27">
        <f t="shared" si="8"/>
        <v>4.5</v>
      </c>
      <c r="L93" s="29">
        <f t="shared" si="9"/>
        <v>0.9</v>
      </c>
    </row>
    <row r="94" spans="1:12" ht="58" customHeight="1">
      <c r="A94" s="17" t="s">
        <v>73</v>
      </c>
      <c r="B94" s="17" t="s">
        <v>8</v>
      </c>
      <c r="C94" s="17" t="s">
        <v>42</v>
      </c>
      <c r="D94" s="17" t="s">
        <v>12</v>
      </c>
      <c r="E94" s="30">
        <v>0</v>
      </c>
      <c r="F94" s="17" t="s">
        <v>134</v>
      </c>
      <c r="G94" s="17" t="s">
        <v>135</v>
      </c>
      <c r="H94" s="17" t="s">
        <v>260</v>
      </c>
      <c r="I94" s="27">
        <f>INDEX($F$6:$I$15,MATCH($C94,$B$6:$B$15,0),MATCH($D94,$F$5:$I$5,0))</f>
        <v>3</v>
      </c>
      <c r="J94" s="28">
        <f t="shared" si="7"/>
        <v>0.2</v>
      </c>
      <c r="K94" s="27">
        <f t="shared" si="8"/>
        <v>3</v>
      </c>
      <c r="L94" s="29">
        <f t="shared" si="9"/>
        <v>0.60000000000000009</v>
      </c>
    </row>
    <row r="95" spans="1:12" ht="58" customHeight="1">
      <c r="A95" s="17" t="s">
        <v>73</v>
      </c>
      <c r="B95" s="17" t="s">
        <v>8</v>
      </c>
      <c r="C95" s="17" t="s">
        <v>42</v>
      </c>
      <c r="D95" s="17" t="s">
        <v>13</v>
      </c>
      <c r="E95" s="30">
        <v>0</v>
      </c>
      <c r="F95" s="17" t="s">
        <v>134</v>
      </c>
      <c r="G95" s="17" t="s">
        <v>135</v>
      </c>
      <c r="H95" s="17" t="s">
        <v>261</v>
      </c>
      <c r="I95" s="27">
        <f>INDEX($F$6:$I$15,MATCH($C95,$B$6:$B$15,0),MATCH($D95,$F$5:$I$5,0))</f>
        <v>1</v>
      </c>
      <c r="J95" s="28">
        <f t="shared" si="7"/>
        <v>0.2</v>
      </c>
      <c r="K95" s="27">
        <f t="shared" si="8"/>
        <v>1</v>
      </c>
      <c r="L95" s="29">
        <f t="shared" si="9"/>
        <v>0.2</v>
      </c>
    </row>
    <row r="96" spans="1:12" ht="58" customHeight="1">
      <c r="A96" s="17" t="s">
        <v>73</v>
      </c>
      <c r="B96" s="17" t="s">
        <v>8</v>
      </c>
      <c r="C96" s="17" t="s">
        <v>43</v>
      </c>
      <c r="D96" s="17" t="s">
        <v>10</v>
      </c>
      <c r="E96" s="30">
        <v>0</v>
      </c>
      <c r="F96" s="17" t="s">
        <v>134</v>
      </c>
      <c r="G96" s="17" t="s">
        <v>135</v>
      </c>
      <c r="H96" s="17" t="s">
        <v>262</v>
      </c>
      <c r="I96" s="27">
        <f>INDEX($F$6:$I$15,MATCH($C96,$B$6:$B$15,0),MATCH($D96,$F$5:$I$5,0))</f>
        <v>4</v>
      </c>
      <c r="J96" s="28">
        <f t="shared" si="7"/>
        <v>0.2</v>
      </c>
      <c r="K96" s="27">
        <f t="shared" si="8"/>
        <v>4</v>
      </c>
      <c r="L96" s="29">
        <f t="shared" si="9"/>
        <v>0.8</v>
      </c>
    </row>
    <row r="97" spans="1:12" ht="58" customHeight="1">
      <c r="A97" s="17" t="s">
        <v>73</v>
      </c>
      <c r="B97" s="17" t="s">
        <v>8</v>
      </c>
      <c r="C97" s="17" t="s">
        <v>43</v>
      </c>
      <c r="D97" s="17" t="s">
        <v>11</v>
      </c>
      <c r="E97" s="30">
        <v>0.5</v>
      </c>
      <c r="F97" s="17" t="s">
        <v>263</v>
      </c>
      <c r="G97" s="17" t="s">
        <v>98</v>
      </c>
      <c r="H97" s="17" t="s">
        <v>264</v>
      </c>
      <c r="I97" s="27">
        <f>INDEX($F$6:$I$15,MATCH($C97,$B$6:$B$15,0),MATCH($D97,$F$5:$I$5,0))</f>
        <v>3</v>
      </c>
      <c r="J97" s="28">
        <f t="shared" si="7"/>
        <v>0.2</v>
      </c>
      <c r="K97" s="27">
        <f t="shared" si="8"/>
        <v>3.5</v>
      </c>
      <c r="L97" s="29">
        <f t="shared" si="9"/>
        <v>0.70000000000000007</v>
      </c>
    </row>
    <row r="98" spans="1:12" ht="58" customHeight="1">
      <c r="A98" s="17" t="s">
        <v>73</v>
      </c>
      <c r="B98" s="17" t="s">
        <v>8</v>
      </c>
      <c r="C98" s="17" t="s">
        <v>43</v>
      </c>
      <c r="D98" s="17" t="s">
        <v>12</v>
      </c>
      <c r="E98" s="30">
        <v>-0.5</v>
      </c>
      <c r="F98" s="17" t="s">
        <v>265</v>
      </c>
      <c r="G98" s="17" t="s">
        <v>98</v>
      </c>
      <c r="H98" s="17" t="s">
        <v>266</v>
      </c>
      <c r="I98" s="27">
        <f>INDEX($F$6:$I$15,MATCH($C98,$B$6:$B$15,0),MATCH($D98,$F$5:$I$5,0))</f>
        <v>2</v>
      </c>
      <c r="J98" s="28">
        <f t="shared" si="7"/>
        <v>0.2</v>
      </c>
      <c r="K98" s="27">
        <f t="shared" si="8"/>
        <v>1.5</v>
      </c>
      <c r="L98" s="29">
        <f t="shared" si="9"/>
        <v>0.30000000000000004</v>
      </c>
    </row>
    <row r="99" spans="1:12" ht="58" customHeight="1">
      <c r="A99" s="17" t="s">
        <v>73</v>
      </c>
      <c r="B99" s="17" t="s">
        <v>8</v>
      </c>
      <c r="C99" s="17" t="s">
        <v>43</v>
      </c>
      <c r="D99" s="17" t="s">
        <v>13</v>
      </c>
      <c r="E99" s="30">
        <v>0</v>
      </c>
      <c r="F99" s="17" t="s">
        <v>134</v>
      </c>
      <c r="G99" s="17" t="s">
        <v>135</v>
      </c>
      <c r="H99" s="17" t="s">
        <v>267</v>
      </c>
      <c r="I99" s="27">
        <f>INDEX($F$6:$I$15,MATCH($C99,$B$6:$B$15,0),MATCH($D99,$F$5:$I$5,0))</f>
        <v>5</v>
      </c>
      <c r="J99" s="28">
        <f t="shared" si="7"/>
        <v>0.2</v>
      </c>
      <c r="K99" s="27">
        <f t="shared" si="8"/>
        <v>5</v>
      </c>
      <c r="L99" s="29">
        <f t="shared" si="9"/>
        <v>1</v>
      </c>
    </row>
    <row r="100" spans="1:12" ht="58" customHeight="1">
      <c r="A100" s="17" t="s">
        <v>73</v>
      </c>
      <c r="B100" s="17" t="s">
        <v>8</v>
      </c>
      <c r="C100" s="17" t="s">
        <v>44</v>
      </c>
      <c r="D100" s="17" t="s">
        <v>10</v>
      </c>
      <c r="E100" s="30">
        <v>0</v>
      </c>
      <c r="F100" s="17" t="s">
        <v>134</v>
      </c>
      <c r="G100" s="17" t="s">
        <v>135</v>
      </c>
      <c r="H100" s="17" t="s">
        <v>268</v>
      </c>
      <c r="I100" s="27">
        <f>INDEX($F$6:$I$15,MATCH($C100,$B$6:$B$15,0),MATCH($D100,$F$5:$I$5,0))</f>
        <v>3</v>
      </c>
      <c r="J100" s="28">
        <f t="shared" si="7"/>
        <v>0.15</v>
      </c>
      <c r="K100" s="27">
        <f t="shared" si="8"/>
        <v>3</v>
      </c>
      <c r="L100" s="29">
        <f t="shared" si="9"/>
        <v>0.44999999999999996</v>
      </c>
    </row>
    <row r="101" spans="1:12" ht="58" customHeight="1">
      <c r="A101" s="17" t="s">
        <v>73</v>
      </c>
      <c r="B101" s="17" t="s">
        <v>8</v>
      </c>
      <c r="C101" s="17" t="s">
        <v>44</v>
      </c>
      <c r="D101" s="17" t="s">
        <v>11</v>
      </c>
      <c r="E101" s="30">
        <v>0</v>
      </c>
      <c r="F101" s="17" t="s">
        <v>134</v>
      </c>
      <c r="G101" s="17" t="s">
        <v>135</v>
      </c>
      <c r="H101" s="17" t="s">
        <v>269</v>
      </c>
      <c r="I101" s="27">
        <f>INDEX($F$6:$I$15,MATCH($C101,$B$6:$B$15,0),MATCH($D101,$F$5:$I$5,0))</f>
        <v>5</v>
      </c>
      <c r="J101" s="28">
        <f t="shared" si="7"/>
        <v>0.15</v>
      </c>
      <c r="K101" s="27">
        <f t="shared" si="8"/>
        <v>5</v>
      </c>
      <c r="L101" s="29">
        <f t="shared" si="9"/>
        <v>0.75</v>
      </c>
    </row>
    <row r="102" spans="1:12" ht="58" customHeight="1">
      <c r="A102" s="17" t="s">
        <v>73</v>
      </c>
      <c r="B102" s="17" t="s">
        <v>8</v>
      </c>
      <c r="C102" s="17" t="s">
        <v>44</v>
      </c>
      <c r="D102" s="17" t="s">
        <v>12</v>
      </c>
      <c r="E102" s="30">
        <v>0</v>
      </c>
      <c r="F102" s="17" t="s">
        <v>134</v>
      </c>
      <c r="G102" s="17" t="s">
        <v>135</v>
      </c>
      <c r="H102" s="17" t="s">
        <v>270</v>
      </c>
      <c r="I102" s="27">
        <f>INDEX($F$6:$I$15,MATCH($C102,$B$6:$B$15,0),MATCH($D102,$F$5:$I$5,0))</f>
        <v>2</v>
      </c>
      <c r="J102" s="28">
        <f t="shared" si="7"/>
        <v>0.15</v>
      </c>
      <c r="K102" s="27">
        <f t="shared" si="8"/>
        <v>2</v>
      </c>
      <c r="L102" s="29">
        <f t="shared" si="9"/>
        <v>0.3</v>
      </c>
    </row>
    <row r="103" spans="1:12" ht="58" customHeight="1">
      <c r="A103" s="17" t="s">
        <v>73</v>
      </c>
      <c r="B103" s="17" t="s">
        <v>8</v>
      </c>
      <c r="C103" s="17" t="s">
        <v>44</v>
      </c>
      <c r="D103" s="17" t="s">
        <v>13</v>
      </c>
      <c r="E103" s="30">
        <v>0</v>
      </c>
      <c r="F103" s="17" t="s">
        <v>134</v>
      </c>
      <c r="G103" s="17" t="s">
        <v>135</v>
      </c>
      <c r="H103" s="17" t="s">
        <v>271</v>
      </c>
      <c r="I103" s="27">
        <f>INDEX($F$6:$I$15,MATCH($C103,$B$6:$B$15,0),MATCH($D103,$F$5:$I$5,0))</f>
        <v>5</v>
      </c>
      <c r="J103" s="28">
        <f t="shared" si="7"/>
        <v>0.15</v>
      </c>
      <c r="K103" s="27">
        <f t="shared" si="8"/>
        <v>5</v>
      </c>
      <c r="L103" s="29">
        <f t="shared" si="9"/>
        <v>0.75</v>
      </c>
    </row>
    <row r="104" spans="1:12" ht="58" customHeight="1">
      <c r="A104" s="17" t="s">
        <v>73</v>
      </c>
      <c r="B104" s="17" t="s">
        <v>8</v>
      </c>
      <c r="C104" s="17" t="s">
        <v>45</v>
      </c>
      <c r="D104" s="17" t="s">
        <v>10</v>
      </c>
      <c r="E104" s="30">
        <v>0</v>
      </c>
      <c r="F104" s="17" t="s">
        <v>134</v>
      </c>
      <c r="G104" s="17" t="s">
        <v>135</v>
      </c>
      <c r="H104" s="17" t="s">
        <v>272</v>
      </c>
      <c r="I104" s="27">
        <f>INDEX($F$6:$I$15,MATCH($C104,$B$6:$B$15,0),MATCH($D104,$F$5:$I$5,0))</f>
        <v>3</v>
      </c>
      <c r="J104" s="28">
        <f t="shared" si="7"/>
        <v>0.15</v>
      </c>
      <c r="K104" s="27">
        <f t="shared" si="8"/>
        <v>3</v>
      </c>
      <c r="L104" s="29">
        <f t="shared" si="9"/>
        <v>0.44999999999999996</v>
      </c>
    </row>
    <row r="105" spans="1:12" ht="58" customHeight="1">
      <c r="A105" s="17" t="s">
        <v>73</v>
      </c>
      <c r="B105" s="17" t="s">
        <v>8</v>
      </c>
      <c r="C105" s="17" t="s">
        <v>45</v>
      </c>
      <c r="D105" s="17" t="s">
        <v>11</v>
      </c>
      <c r="E105" s="30">
        <v>0</v>
      </c>
      <c r="F105" s="17" t="s">
        <v>134</v>
      </c>
      <c r="G105" s="17" t="s">
        <v>135</v>
      </c>
      <c r="H105" s="17" t="s">
        <v>273</v>
      </c>
      <c r="I105" s="27">
        <f>INDEX($F$6:$I$15,MATCH($C105,$B$6:$B$15,0),MATCH($D105,$F$5:$I$5,0))</f>
        <v>4</v>
      </c>
      <c r="J105" s="28">
        <f t="shared" si="7"/>
        <v>0.15</v>
      </c>
      <c r="K105" s="27">
        <f t="shared" si="8"/>
        <v>4</v>
      </c>
      <c r="L105" s="29">
        <f t="shared" si="9"/>
        <v>0.6</v>
      </c>
    </row>
    <row r="106" spans="1:12" ht="58" customHeight="1">
      <c r="A106" s="17" t="s">
        <v>73</v>
      </c>
      <c r="B106" s="17" t="s">
        <v>8</v>
      </c>
      <c r="C106" s="17" t="s">
        <v>45</v>
      </c>
      <c r="D106" s="17" t="s">
        <v>12</v>
      </c>
      <c r="E106" s="30">
        <v>0</v>
      </c>
      <c r="F106" s="17" t="s">
        <v>134</v>
      </c>
      <c r="G106" s="17" t="s">
        <v>135</v>
      </c>
      <c r="H106" s="17" t="s">
        <v>274</v>
      </c>
      <c r="I106" s="27">
        <f>INDEX($F$6:$I$15,MATCH($C106,$B$6:$B$15,0),MATCH($D106,$F$5:$I$5,0))</f>
        <v>5</v>
      </c>
      <c r="J106" s="28">
        <f t="shared" si="7"/>
        <v>0.15</v>
      </c>
      <c r="K106" s="27">
        <f t="shared" si="8"/>
        <v>5</v>
      </c>
      <c r="L106" s="29">
        <f t="shared" si="9"/>
        <v>0.75</v>
      </c>
    </row>
    <row r="107" spans="1:12" ht="58" customHeight="1">
      <c r="A107" s="17" t="s">
        <v>73</v>
      </c>
      <c r="B107" s="17" t="s">
        <v>8</v>
      </c>
      <c r="C107" s="17" t="s">
        <v>45</v>
      </c>
      <c r="D107" s="17" t="s">
        <v>13</v>
      </c>
      <c r="E107" s="30">
        <v>0</v>
      </c>
      <c r="F107" s="17" t="s">
        <v>134</v>
      </c>
      <c r="G107" s="17" t="s">
        <v>135</v>
      </c>
      <c r="H107" s="17" t="s">
        <v>275</v>
      </c>
      <c r="I107" s="27">
        <f>INDEX($F$6:$I$15,MATCH($C107,$B$6:$B$15,0),MATCH($D107,$F$5:$I$5,0))</f>
        <v>1</v>
      </c>
      <c r="J107" s="28">
        <f t="shared" si="7"/>
        <v>0.15</v>
      </c>
      <c r="K107" s="27">
        <f t="shared" si="8"/>
        <v>1</v>
      </c>
      <c r="L107" s="29">
        <f t="shared" si="9"/>
        <v>0.15</v>
      </c>
    </row>
    <row r="108" spans="1:12" ht="58" customHeight="1">
      <c r="A108" s="17" t="s">
        <v>84</v>
      </c>
      <c r="B108" s="17" t="s">
        <v>7</v>
      </c>
      <c r="C108" s="17" t="s">
        <v>36</v>
      </c>
      <c r="D108" s="17" t="s">
        <v>10</v>
      </c>
      <c r="E108" s="30">
        <v>0</v>
      </c>
      <c r="F108" s="17" t="s">
        <v>134</v>
      </c>
      <c r="G108" s="17" t="s">
        <v>135</v>
      </c>
      <c r="H108" s="17" t="s">
        <v>276</v>
      </c>
      <c r="I108" s="27">
        <f>INDEX($F$6:$I$15,MATCH($C108,$B$6:$B$15,0),MATCH($D108,$F$5:$I$5,0))</f>
        <v>2</v>
      </c>
      <c r="J108" s="28">
        <f t="shared" si="7"/>
        <v>0.3</v>
      </c>
      <c r="K108" s="27">
        <f t="shared" si="8"/>
        <v>2</v>
      </c>
      <c r="L108" s="29">
        <f t="shared" si="9"/>
        <v>0.6</v>
      </c>
    </row>
    <row r="109" spans="1:12" ht="58" customHeight="1">
      <c r="A109" s="17" t="s">
        <v>84</v>
      </c>
      <c r="B109" s="17" t="s">
        <v>7</v>
      </c>
      <c r="C109" s="17" t="s">
        <v>36</v>
      </c>
      <c r="D109" s="17" t="s">
        <v>11</v>
      </c>
      <c r="E109" s="30">
        <v>0.5</v>
      </c>
      <c r="F109" s="17" t="s">
        <v>277</v>
      </c>
      <c r="G109" s="17" t="s">
        <v>23</v>
      </c>
      <c r="H109" s="17" t="s">
        <v>278</v>
      </c>
      <c r="I109" s="27">
        <f>INDEX($F$6:$I$15,MATCH($C109,$B$6:$B$15,0),MATCH($D109,$F$5:$I$5,0))</f>
        <v>4</v>
      </c>
      <c r="J109" s="28">
        <f t="shared" si="7"/>
        <v>0.3</v>
      </c>
      <c r="K109" s="27">
        <f t="shared" si="8"/>
        <v>4.5</v>
      </c>
      <c r="L109" s="29">
        <f t="shared" si="9"/>
        <v>1.3499999999999999</v>
      </c>
    </row>
    <row r="110" spans="1:12" ht="58" customHeight="1">
      <c r="A110" s="17" t="s">
        <v>84</v>
      </c>
      <c r="B110" s="17" t="s">
        <v>7</v>
      </c>
      <c r="C110" s="17" t="s">
        <v>36</v>
      </c>
      <c r="D110" s="17" t="s">
        <v>12</v>
      </c>
      <c r="E110" s="30">
        <v>0.5</v>
      </c>
      <c r="F110" s="17" t="s">
        <v>279</v>
      </c>
      <c r="G110" s="17" t="s">
        <v>23</v>
      </c>
      <c r="H110" s="17" t="s">
        <v>280</v>
      </c>
      <c r="I110" s="27">
        <f>INDEX($F$6:$I$15,MATCH($C110,$B$6:$B$15,0),MATCH($D110,$F$5:$I$5,0))</f>
        <v>4</v>
      </c>
      <c r="J110" s="28">
        <f t="shared" si="7"/>
        <v>0.3</v>
      </c>
      <c r="K110" s="27">
        <f t="shared" si="8"/>
        <v>4.5</v>
      </c>
      <c r="L110" s="29">
        <f t="shared" si="9"/>
        <v>1.3499999999999999</v>
      </c>
    </row>
    <row r="111" spans="1:12" ht="58" customHeight="1">
      <c r="A111" s="17" t="s">
        <v>84</v>
      </c>
      <c r="B111" s="17" t="s">
        <v>7</v>
      </c>
      <c r="C111" s="17" t="s">
        <v>36</v>
      </c>
      <c r="D111" s="17" t="s">
        <v>13</v>
      </c>
      <c r="E111" s="30">
        <v>0</v>
      </c>
      <c r="F111" s="17" t="s">
        <v>134</v>
      </c>
      <c r="G111" s="17" t="s">
        <v>135</v>
      </c>
      <c r="H111" s="17" t="s">
        <v>281</v>
      </c>
      <c r="I111" s="27">
        <f>INDEX($F$6:$I$15,MATCH($C111,$B$6:$B$15,0),MATCH($D111,$F$5:$I$5,0))</f>
        <v>5</v>
      </c>
      <c r="J111" s="28">
        <f t="shared" si="7"/>
        <v>0.3</v>
      </c>
      <c r="K111" s="27">
        <f t="shared" si="8"/>
        <v>5</v>
      </c>
      <c r="L111" s="29">
        <f t="shared" si="9"/>
        <v>1.5</v>
      </c>
    </row>
    <row r="112" spans="1:12" ht="58" customHeight="1">
      <c r="A112" s="17" t="s">
        <v>84</v>
      </c>
      <c r="B112" s="17" t="s">
        <v>7</v>
      </c>
      <c r="C112" s="17" t="s">
        <v>37</v>
      </c>
      <c r="D112" s="17" t="s">
        <v>10</v>
      </c>
      <c r="E112" s="30">
        <v>-0.5</v>
      </c>
      <c r="F112" s="17" t="s">
        <v>282</v>
      </c>
      <c r="G112" s="17" t="s">
        <v>283</v>
      </c>
      <c r="H112" s="17" t="s">
        <v>284</v>
      </c>
      <c r="I112" s="27">
        <f>INDEX($F$6:$I$15,MATCH($C112,$B$6:$B$15,0),MATCH($D112,$F$5:$I$5,0))</f>
        <v>4</v>
      </c>
      <c r="J112" s="28">
        <f t="shared" si="7"/>
        <v>0.2</v>
      </c>
      <c r="K112" s="27">
        <f t="shared" si="8"/>
        <v>3.5</v>
      </c>
      <c r="L112" s="29">
        <f t="shared" si="9"/>
        <v>0.70000000000000007</v>
      </c>
    </row>
    <row r="113" spans="1:12" ht="58" customHeight="1">
      <c r="A113" s="17" t="s">
        <v>84</v>
      </c>
      <c r="B113" s="17" t="s">
        <v>7</v>
      </c>
      <c r="C113" s="17" t="s">
        <v>37</v>
      </c>
      <c r="D113" s="17" t="s">
        <v>11</v>
      </c>
      <c r="E113" s="30">
        <v>0</v>
      </c>
      <c r="F113" s="17" t="s">
        <v>134</v>
      </c>
      <c r="G113" s="17" t="s">
        <v>135</v>
      </c>
      <c r="H113" s="17" t="s">
        <v>285</v>
      </c>
      <c r="I113" s="27">
        <f>INDEX($F$6:$I$15,MATCH($C113,$B$6:$B$15,0),MATCH($D113,$F$5:$I$5,0))</f>
        <v>2</v>
      </c>
      <c r="J113" s="28">
        <f t="shared" si="7"/>
        <v>0.2</v>
      </c>
      <c r="K113" s="27">
        <f t="shared" si="8"/>
        <v>2</v>
      </c>
      <c r="L113" s="29">
        <f t="shared" si="9"/>
        <v>0.4</v>
      </c>
    </row>
    <row r="114" spans="1:12" ht="58" customHeight="1">
      <c r="A114" s="17" t="s">
        <v>84</v>
      </c>
      <c r="B114" s="17" t="s">
        <v>7</v>
      </c>
      <c r="C114" s="17" t="s">
        <v>37</v>
      </c>
      <c r="D114" s="17" t="s">
        <v>12</v>
      </c>
      <c r="E114" s="30">
        <v>-0.5</v>
      </c>
      <c r="F114" s="17" t="s">
        <v>286</v>
      </c>
      <c r="G114" s="17" t="s">
        <v>98</v>
      </c>
      <c r="H114" s="17" t="s">
        <v>287</v>
      </c>
      <c r="I114" s="27">
        <f>INDEX($F$6:$I$15,MATCH($C114,$B$6:$B$15,0),MATCH($D114,$F$5:$I$5,0))</f>
        <v>3</v>
      </c>
      <c r="J114" s="28">
        <f t="shared" si="7"/>
        <v>0.2</v>
      </c>
      <c r="K114" s="27">
        <f t="shared" si="8"/>
        <v>2.5</v>
      </c>
      <c r="L114" s="29">
        <f t="shared" si="9"/>
        <v>0.5</v>
      </c>
    </row>
    <row r="115" spans="1:12" ht="58" customHeight="1">
      <c r="A115" s="17" t="s">
        <v>84</v>
      </c>
      <c r="B115" s="17" t="s">
        <v>7</v>
      </c>
      <c r="C115" s="17" t="s">
        <v>37</v>
      </c>
      <c r="D115" s="17" t="s">
        <v>13</v>
      </c>
      <c r="E115" s="30">
        <v>0</v>
      </c>
      <c r="F115" s="17" t="s">
        <v>134</v>
      </c>
      <c r="G115" s="17" t="s">
        <v>135</v>
      </c>
      <c r="H115" s="17" t="s">
        <v>288</v>
      </c>
      <c r="I115" s="27">
        <f>INDEX($F$6:$I$15,MATCH($C115,$B$6:$B$15,0),MATCH($D115,$F$5:$I$5,0))</f>
        <v>1</v>
      </c>
      <c r="J115" s="28">
        <f t="shared" si="7"/>
        <v>0.2</v>
      </c>
      <c r="K115" s="27">
        <f t="shared" si="8"/>
        <v>1</v>
      </c>
      <c r="L115" s="29">
        <f t="shared" si="9"/>
        <v>0.2</v>
      </c>
    </row>
    <row r="116" spans="1:12" ht="58" customHeight="1">
      <c r="A116" s="17" t="s">
        <v>84</v>
      </c>
      <c r="B116" s="17" t="s">
        <v>7</v>
      </c>
      <c r="C116" s="17" t="s">
        <v>38</v>
      </c>
      <c r="D116" s="17" t="s">
        <v>10</v>
      </c>
      <c r="E116" s="30">
        <v>0</v>
      </c>
      <c r="F116" s="17" t="s">
        <v>134</v>
      </c>
      <c r="G116" s="17" t="s">
        <v>135</v>
      </c>
      <c r="H116" s="17" t="s">
        <v>289</v>
      </c>
      <c r="I116" s="27">
        <f>INDEX($F$6:$I$15,MATCH($C116,$B$6:$B$15,0),MATCH($D116,$F$5:$I$5,0))</f>
        <v>1</v>
      </c>
      <c r="J116" s="28">
        <f t="shared" si="7"/>
        <v>0.2</v>
      </c>
      <c r="K116" s="27">
        <f t="shared" si="8"/>
        <v>1</v>
      </c>
      <c r="L116" s="29">
        <f t="shared" si="9"/>
        <v>0.2</v>
      </c>
    </row>
    <row r="117" spans="1:12" ht="58" customHeight="1">
      <c r="A117" s="17" t="s">
        <v>84</v>
      </c>
      <c r="B117" s="17" t="s">
        <v>7</v>
      </c>
      <c r="C117" s="17" t="s">
        <v>38</v>
      </c>
      <c r="D117" s="17" t="s">
        <v>11</v>
      </c>
      <c r="E117" s="30">
        <v>0.5</v>
      </c>
      <c r="F117" s="17" t="s">
        <v>290</v>
      </c>
      <c r="G117" s="17" t="s">
        <v>23</v>
      </c>
      <c r="H117" s="17" t="s">
        <v>291</v>
      </c>
      <c r="I117" s="27">
        <f>INDEX($F$6:$I$15,MATCH($C117,$B$6:$B$15,0),MATCH($D117,$F$5:$I$5,0))</f>
        <v>5</v>
      </c>
      <c r="J117" s="28">
        <f t="shared" si="7"/>
        <v>0.2</v>
      </c>
      <c r="K117" s="27">
        <f t="shared" si="8"/>
        <v>5</v>
      </c>
      <c r="L117" s="29">
        <f t="shared" si="9"/>
        <v>1</v>
      </c>
    </row>
    <row r="118" spans="1:12" ht="58" customHeight="1">
      <c r="A118" s="17" t="s">
        <v>84</v>
      </c>
      <c r="B118" s="17" t="s">
        <v>7</v>
      </c>
      <c r="C118" s="17" t="s">
        <v>38</v>
      </c>
      <c r="D118" s="17" t="s">
        <v>12</v>
      </c>
      <c r="E118" s="30">
        <v>0</v>
      </c>
      <c r="F118" s="17" t="s">
        <v>134</v>
      </c>
      <c r="G118" s="17" t="s">
        <v>135</v>
      </c>
      <c r="H118" s="17" t="s">
        <v>292</v>
      </c>
      <c r="I118" s="27">
        <f>INDEX($F$6:$I$15,MATCH($C118,$B$6:$B$15,0),MATCH($D118,$F$5:$I$5,0))</f>
        <v>3</v>
      </c>
      <c r="J118" s="28">
        <f t="shared" si="7"/>
        <v>0.2</v>
      </c>
      <c r="K118" s="27">
        <f t="shared" si="8"/>
        <v>3</v>
      </c>
      <c r="L118" s="29">
        <f t="shared" si="9"/>
        <v>0.60000000000000009</v>
      </c>
    </row>
    <row r="119" spans="1:12" ht="58" customHeight="1">
      <c r="A119" s="17" t="s">
        <v>84</v>
      </c>
      <c r="B119" s="17" t="s">
        <v>7</v>
      </c>
      <c r="C119" s="17" t="s">
        <v>38</v>
      </c>
      <c r="D119" s="17" t="s">
        <v>13</v>
      </c>
      <c r="E119" s="30">
        <v>-0.5</v>
      </c>
      <c r="F119" s="17" t="s">
        <v>293</v>
      </c>
      <c r="G119" s="17" t="s">
        <v>283</v>
      </c>
      <c r="H119" s="17" t="s">
        <v>294</v>
      </c>
      <c r="I119" s="27">
        <f>INDEX($F$6:$I$15,MATCH($C119,$B$6:$B$15,0),MATCH($D119,$F$5:$I$5,0))</f>
        <v>2</v>
      </c>
      <c r="J119" s="28">
        <f t="shared" si="7"/>
        <v>0.2</v>
      </c>
      <c r="K119" s="27">
        <f t="shared" si="8"/>
        <v>1.5</v>
      </c>
      <c r="L119" s="29">
        <f t="shared" si="9"/>
        <v>0.30000000000000004</v>
      </c>
    </row>
    <row r="120" spans="1:12" ht="58" customHeight="1">
      <c r="A120" s="17" t="s">
        <v>84</v>
      </c>
      <c r="B120" s="17" t="s">
        <v>7</v>
      </c>
      <c r="C120" s="17" t="s">
        <v>39</v>
      </c>
      <c r="D120" s="17" t="s">
        <v>10</v>
      </c>
      <c r="E120" s="30">
        <v>0</v>
      </c>
      <c r="F120" s="17" t="s">
        <v>134</v>
      </c>
      <c r="G120" s="17" t="s">
        <v>135</v>
      </c>
      <c r="H120" s="17" t="s">
        <v>295</v>
      </c>
      <c r="I120" s="27">
        <f>INDEX($F$6:$I$15,MATCH($C120,$B$6:$B$15,0),MATCH($D120,$F$5:$I$5,0))</f>
        <v>5</v>
      </c>
      <c r="J120" s="28">
        <f t="shared" si="7"/>
        <v>0.15</v>
      </c>
      <c r="K120" s="27">
        <f t="shared" si="8"/>
        <v>5</v>
      </c>
      <c r="L120" s="29">
        <f t="shared" si="9"/>
        <v>0.75</v>
      </c>
    </row>
    <row r="121" spans="1:12" ht="58" customHeight="1">
      <c r="A121" s="17" t="s">
        <v>84</v>
      </c>
      <c r="B121" s="17" t="s">
        <v>7</v>
      </c>
      <c r="C121" s="17" t="s">
        <v>39</v>
      </c>
      <c r="D121" s="17" t="s">
        <v>11</v>
      </c>
      <c r="E121" s="30">
        <v>0</v>
      </c>
      <c r="F121" s="17" t="s">
        <v>134</v>
      </c>
      <c r="G121" s="17" t="s">
        <v>135</v>
      </c>
      <c r="H121" s="17" t="s">
        <v>296</v>
      </c>
      <c r="I121" s="27">
        <f>INDEX($F$6:$I$15,MATCH($C121,$B$6:$B$15,0),MATCH($D121,$F$5:$I$5,0))</f>
        <v>4</v>
      </c>
      <c r="J121" s="28">
        <f t="shared" si="7"/>
        <v>0.15</v>
      </c>
      <c r="K121" s="27">
        <f t="shared" si="8"/>
        <v>4</v>
      </c>
      <c r="L121" s="29">
        <f t="shared" si="9"/>
        <v>0.6</v>
      </c>
    </row>
    <row r="122" spans="1:12" ht="58" customHeight="1">
      <c r="A122" s="17" t="s">
        <v>84</v>
      </c>
      <c r="B122" s="17" t="s">
        <v>7</v>
      </c>
      <c r="C122" s="17" t="s">
        <v>39</v>
      </c>
      <c r="D122" s="17" t="s">
        <v>12</v>
      </c>
      <c r="E122" s="30">
        <v>-0.5</v>
      </c>
      <c r="F122" s="17" t="s">
        <v>183</v>
      </c>
      <c r="G122" s="17" t="s">
        <v>98</v>
      </c>
      <c r="H122" s="17" t="s">
        <v>297</v>
      </c>
      <c r="I122" s="27">
        <f>INDEX($F$6:$I$15,MATCH($C122,$B$6:$B$15,0),MATCH($D122,$F$5:$I$5,0))</f>
        <v>2</v>
      </c>
      <c r="J122" s="28">
        <f t="shared" si="7"/>
        <v>0.15</v>
      </c>
      <c r="K122" s="27">
        <f t="shared" si="8"/>
        <v>1.5</v>
      </c>
      <c r="L122" s="29">
        <f t="shared" si="9"/>
        <v>0.22499999999999998</v>
      </c>
    </row>
    <row r="123" spans="1:12" ht="58" customHeight="1">
      <c r="A123" s="17" t="s">
        <v>84</v>
      </c>
      <c r="B123" s="17" t="s">
        <v>7</v>
      </c>
      <c r="C123" s="17" t="s">
        <v>39</v>
      </c>
      <c r="D123" s="17" t="s">
        <v>13</v>
      </c>
      <c r="E123" s="30">
        <v>0</v>
      </c>
      <c r="F123" s="17" t="s">
        <v>134</v>
      </c>
      <c r="G123" s="17" t="s">
        <v>135</v>
      </c>
      <c r="H123" s="17" t="s">
        <v>298</v>
      </c>
      <c r="I123" s="27">
        <f>INDEX($F$6:$I$15,MATCH($C123,$B$6:$B$15,0),MATCH($D123,$F$5:$I$5,0))</f>
        <v>2</v>
      </c>
      <c r="J123" s="28">
        <f t="shared" si="7"/>
        <v>0.15</v>
      </c>
      <c r="K123" s="27">
        <f t="shared" si="8"/>
        <v>2</v>
      </c>
      <c r="L123" s="29">
        <f t="shared" si="9"/>
        <v>0.3</v>
      </c>
    </row>
    <row r="124" spans="1:12" ht="58" customHeight="1">
      <c r="A124" s="17" t="s">
        <v>84</v>
      </c>
      <c r="B124" s="17" t="s">
        <v>7</v>
      </c>
      <c r="C124" s="17" t="s">
        <v>40</v>
      </c>
      <c r="D124" s="17" t="s">
        <v>10</v>
      </c>
      <c r="E124" s="30">
        <v>0</v>
      </c>
      <c r="F124" s="17" t="s">
        <v>134</v>
      </c>
      <c r="G124" s="17" t="s">
        <v>135</v>
      </c>
      <c r="H124" s="17" t="s">
        <v>299</v>
      </c>
      <c r="I124" s="27">
        <f>INDEX($F$6:$I$15,MATCH($C124,$B$6:$B$15,0),MATCH($D124,$F$5:$I$5,0))</f>
        <v>4</v>
      </c>
      <c r="J124" s="28">
        <f t="shared" ref="J124:J147" si="10">INDEX($C$6:$C$15,MATCH($C124,$B$6:$B$15,0))</f>
        <v>0.15</v>
      </c>
      <c r="K124" s="27">
        <f t="shared" ref="K124:K147" si="11">MAX(1,MIN(5,I124+E124))</f>
        <v>4</v>
      </c>
      <c r="L124" s="29">
        <f t="shared" ref="L124:L147" si="12">J124*K124</f>
        <v>0.6</v>
      </c>
    </row>
    <row r="125" spans="1:12" ht="58" customHeight="1">
      <c r="A125" s="17" t="s">
        <v>84</v>
      </c>
      <c r="B125" s="17" t="s">
        <v>7</v>
      </c>
      <c r="C125" s="17" t="s">
        <v>40</v>
      </c>
      <c r="D125" s="17" t="s">
        <v>11</v>
      </c>
      <c r="E125" s="30">
        <v>0</v>
      </c>
      <c r="F125" s="17" t="s">
        <v>134</v>
      </c>
      <c r="G125" s="17" t="s">
        <v>135</v>
      </c>
      <c r="H125" s="17" t="s">
        <v>300</v>
      </c>
      <c r="I125" s="27">
        <f>INDEX($F$6:$I$15,MATCH($C125,$B$6:$B$15,0),MATCH($D125,$F$5:$I$5,0))</f>
        <v>3</v>
      </c>
      <c r="J125" s="28">
        <f t="shared" si="10"/>
        <v>0.15</v>
      </c>
      <c r="K125" s="27">
        <f t="shared" si="11"/>
        <v>3</v>
      </c>
      <c r="L125" s="29">
        <f t="shared" si="12"/>
        <v>0.44999999999999996</v>
      </c>
    </row>
    <row r="126" spans="1:12" ht="58" customHeight="1">
      <c r="A126" s="17" t="s">
        <v>84</v>
      </c>
      <c r="B126" s="17" t="s">
        <v>7</v>
      </c>
      <c r="C126" s="17" t="s">
        <v>40</v>
      </c>
      <c r="D126" s="17" t="s">
        <v>12</v>
      </c>
      <c r="E126" s="30">
        <v>0</v>
      </c>
      <c r="F126" s="17" t="s">
        <v>134</v>
      </c>
      <c r="G126" s="17" t="s">
        <v>135</v>
      </c>
      <c r="H126" s="17" t="s">
        <v>301</v>
      </c>
      <c r="I126" s="27">
        <f>INDEX($F$6:$I$15,MATCH($C126,$B$6:$B$15,0),MATCH($D126,$F$5:$I$5,0))</f>
        <v>2</v>
      </c>
      <c r="J126" s="28">
        <f t="shared" si="10"/>
        <v>0.15</v>
      </c>
      <c r="K126" s="27">
        <f t="shared" si="11"/>
        <v>2</v>
      </c>
      <c r="L126" s="29">
        <f t="shared" si="12"/>
        <v>0.3</v>
      </c>
    </row>
    <row r="127" spans="1:12" ht="58" customHeight="1">
      <c r="A127" s="17" t="s">
        <v>84</v>
      </c>
      <c r="B127" s="17" t="s">
        <v>7</v>
      </c>
      <c r="C127" s="17" t="s">
        <v>40</v>
      </c>
      <c r="D127" s="17" t="s">
        <v>13</v>
      </c>
      <c r="E127" s="30">
        <v>0</v>
      </c>
      <c r="F127" s="17" t="s">
        <v>134</v>
      </c>
      <c r="G127" s="17" t="s">
        <v>135</v>
      </c>
      <c r="H127" s="17" t="s">
        <v>302</v>
      </c>
      <c r="I127" s="27">
        <f>INDEX($F$6:$I$15,MATCH($C127,$B$6:$B$15,0),MATCH($D127,$F$5:$I$5,0))</f>
        <v>5</v>
      </c>
      <c r="J127" s="28">
        <f t="shared" si="10"/>
        <v>0.15</v>
      </c>
      <c r="K127" s="27">
        <f t="shared" si="11"/>
        <v>5</v>
      </c>
      <c r="L127" s="29">
        <f t="shared" si="12"/>
        <v>0.75</v>
      </c>
    </row>
    <row r="128" spans="1:12" ht="58" customHeight="1">
      <c r="A128" s="17" t="s">
        <v>84</v>
      </c>
      <c r="B128" s="17" t="s">
        <v>8</v>
      </c>
      <c r="C128" s="17" t="s">
        <v>41</v>
      </c>
      <c r="D128" s="17" t="s">
        <v>10</v>
      </c>
      <c r="E128" s="30">
        <v>0</v>
      </c>
      <c r="F128" s="17" t="s">
        <v>134</v>
      </c>
      <c r="G128" s="17" t="s">
        <v>135</v>
      </c>
      <c r="H128" s="17" t="s">
        <v>303</v>
      </c>
      <c r="I128" s="27">
        <f>INDEX($F$6:$I$15,MATCH($C128,$B$6:$B$15,0),MATCH($D128,$F$5:$I$5,0))</f>
        <v>2</v>
      </c>
      <c r="J128" s="28">
        <f t="shared" si="10"/>
        <v>0.3</v>
      </c>
      <c r="K128" s="27">
        <f t="shared" si="11"/>
        <v>2</v>
      </c>
      <c r="L128" s="29">
        <f t="shared" si="12"/>
        <v>0.6</v>
      </c>
    </row>
    <row r="129" spans="1:12" ht="58" customHeight="1">
      <c r="A129" s="17" t="s">
        <v>84</v>
      </c>
      <c r="B129" s="17" t="s">
        <v>8</v>
      </c>
      <c r="C129" s="17" t="s">
        <v>41</v>
      </c>
      <c r="D129" s="17" t="s">
        <v>11</v>
      </c>
      <c r="E129" s="30">
        <v>0.5</v>
      </c>
      <c r="F129" s="17" t="s">
        <v>304</v>
      </c>
      <c r="G129" s="17" t="s">
        <v>98</v>
      </c>
      <c r="H129" s="17" t="s">
        <v>305</v>
      </c>
      <c r="I129" s="27">
        <f>INDEX($F$6:$I$15,MATCH($C129,$B$6:$B$15,0),MATCH($D129,$F$5:$I$5,0))</f>
        <v>5</v>
      </c>
      <c r="J129" s="28">
        <f t="shared" si="10"/>
        <v>0.3</v>
      </c>
      <c r="K129" s="27">
        <f t="shared" si="11"/>
        <v>5</v>
      </c>
      <c r="L129" s="29">
        <f t="shared" si="12"/>
        <v>1.5</v>
      </c>
    </row>
    <row r="130" spans="1:12" ht="58" customHeight="1">
      <c r="A130" s="17" t="s">
        <v>84</v>
      </c>
      <c r="B130" s="17" t="s">
        <v>8</v>
      </c>
      <c r="C130" s="17" t="s">
        <v>41</v>
      </c>
      <c r="D130" s="17" t="s">
        <v>12</v>
      </c>
      <c r="E130" s="30">
        <v>0.5</v>
      </c>
      <c r="F130" s="17" t="s">
        <v>254</v>
      </c>
      <c r="G130" s="17" t="s">
        <v>255</v>
      </c>
      <c r="H130" s="17" t="s">
        <v>306</v>
      </c>
      <c r="I130" s="27">
        <f>INDEX($F$6:$I$15,MATCH($C130,$B$6:$B$15,0),MATCH($D130,$F$5:$I$5,0))</f>
        <v>4</v>
      </c>
      <c r="J130" s="28">
        <f t="shared" si="10"/>
        <v>0.3</v>
      </c>
      <c r="K130" s="27">
        <f t="shared" si="11"/>
        <v>4.5</v>
      </c>
      <c r="L130" s="29">
        <f t="shared" si="12"/>
        <v>1.3499999999999999</v>
      </c>
    </row>
    <row r="131" spans="1:12" ht="58" customHeight="1">
      <c r="A131" s="17" t="s">
        <v>84</v>
      </c>
      <c r="B131" s="17" t="s">
        <v>8</v>
      </c>
      <c r="C131" s="17" t="s">
        <v>41</v>
      </c>
      <c r="D131" s="17" t="s">
        <v>13</v>
      </c>
      <c r="E131" s="30">
        <v>0</v>
      </c>
      <c r="F131" s="17" t="s">
        <v>134</v>
      </c>
      <c r="G131" s="17" t="s">
        <v>135</v>
      </c>
      <c r="H131" s="17" t="s">
        <v>307</v>
      </c>
      <c r="I131" s="27">
        <f>INDEX($F$6:$I$15,MATCH($C131,$B$6:$B$15,0),MATCH($D131,$F$5:$I$5,0))</f>
        <v>2</v>
      </c>
      <c r="J131" s="28">
        <f t="shared" si="10"/>
        <v>0.3</v>
      </c>
      <c r="K131" s="27">
        <f t="shared" si="11"/>
        <v>2</v>
      </c>
      <c r="L131" s="29">
        <f t="shared" si="12"/>
        <v>0.6</v>
      </c>
    </row>
    <row r="132" spans="1:12" ht="58" customHeight="1">
      <c r="A132" s="17" t="s">
        <v>84</v>
      </c>
      <c r="B132" s="17" t="s">
        <v>8</v>
      </c>
      <c r="C132" s="17" t="s">
        <v>42</v>
      </c>
      <c r="D132" s="17" t="s">
        <v>10</v>
      </c>
      <c r="E132" s="30">
        <v>0</v>
      </c>
      <c r="F132" s="17" t="s">
        <v>134</v>
      </c>
      <c r="G132" s="17" t="s">
        <v>135</v>
      </c>
      <c r="H132" s="17" t="s">
        <v>308</v>
      </c>
      <c r="I132" s="27">
        <f>INDEX($F$6:$I$15,MATCH($C132,$B$6:$B$15,0),MATCH($D132,$F$5:$I$5,0))</f>
        <v>1</v>
      </c>
      <c r="J132" s="28">
        <f t="shared" si="10"/>
        <v>0.2</v>
      </c>
      <c r="K132" s="27">
        <f t="shared" si="11"/>
        <v>1</v>
      </c>
      <c r="L132" s="29">
        <f t="shared" si="12"/>
        <v>0.2</v>
      </c>
    </row>
    <row r="133" spans="1:12" ht="58" customHeight="1">
      <c r="A133" s="17" t="s">
        <v>84</v>
      </c>
      <c r="B133" s="17" t="s">
        <v>8</v>
      </c>
      <c r="C133" s="17" t="s">
        <v>42</v>
      </c>
      <c r="D133" s="17" t="s">
        <v>11</v>
      </c>
      <c r="E133" s="30">
        <v>0.5</v>
      </c>
      <c r="F133" s="17" t="s">
        <v>191</v>
      </c>
      <c r="G133" s="17" t="s">
        <v>98</v>
      </c>
      <c r="H133" s="17" t="s">
        <v>309</v>
      </c>
      <c r="I133" s="27">
        <f>INDEX($F$6:$I$15,MATCH($C133,$B$6:$B$15,0),MATCH($D133,$F$5:$I$5,0))</f>
        <v>4</v>
      </c>
      <c r="J133" s="28">
        <f t="shared" si="10"/>
        <v>0.2</v>
      </c>
      <c r="K133" s="27">
        <f t="shared" si="11"/>
        <v>4.5</v>
      </c>
      <c r="L133" s="29">
        <f t="shared" si="12"/>
        <v>0.9</v>
      </c>
    </row>
    <row r="134" spans="1:12" ht="58" customHeight="1">
      <c r="A134" s="17" t="s">
        <v>84</v>
      </c>
      <c r="B134" s="17" t="s">
        <v>8</v>
      </c>
      <c r="C134" s="17" t="s">
        <v>42</v>
      </c>
      <c r="D134" s="17" t="s">
        <v>12</v>
      </c>
      <c r="E134" s="30">
        <v>0</v>
      </c>
      <c r="F134" s="17" t="s">
        <v>134</v>
      </c>
      <c r="G134" s="17" t="s">
        <v>135</v>
      </c>
      <c r="H134" s="17" t="s">
        <v>310</v>
      </c>
      <c r="I134" s="27">
        <f>INDEX($F$6:$I$15,MATCH($C134,$B$6:$B$15,0),MATCH($D134,$F$5:$I$5,0))</f>
        <v>3</v>
      </c>
      <c r="J134" s="28">
        <f t="shared" si="10"/>
        <v>0.2</v>
      </c>
      <c r="K134" s="27">
        <f t="shared" si="11"/>
        <v>3</v>
      </c>
      <c r="L134" s="29">
        <f t="shared" si="12"/>
        <v>0.60000000000000009</v>
      </c>
    </row>
    <row r="135" spans="1:12" ht="58" customHeight="1">
      <c r="A135" s="17" t="s">
        <v>84</v>
      </c>
      <c r="B135" s="17" t="s">
        <v>8</v>
      </c>
      <c r="C135" s="17" t="s">
        <v>42</v>
      </c>
      <c r="D135" s="17" t="s">
        <v>13</v>
      </c>
      <c r="E135" s="30">
        <v>0</v>
      </c>
      <c r="F135" s="17" t="s">
        <v>134</v>
      </c>
      <c r="G135" s="17" t="s">
        <v>135</v>
      </c>
      <c r="H135" s="17" t="s">
        <v>311</v>
      </c>
      <c r="I135" s="27">
        <f>INDEX($F$6:$I$15,MATCH($C135,$B$6:$B$15,0),MATCH($D135,$F$5:$I$5,0))</f>
        <v>1</v>
      </c>
      <c r="J135" s="28">
        <f t="shared" si="10"/>
        <v>0.2</v>
      </c>
      <c r="K135" s="27">
        <f t="shared" si="11"/>
        <v>1</v>
      </c>
      <c r="L135" s="29">
        <f t="shared" si="12"/>
        <v>0.2</v>
      </c>
    </row>
    <row r="136" spans="1:12" ht="58" customHeight="1">
      <c r="A136" s="17" t="s">
        <v>84</v>
      </c>
      <c r="B136" s="17" t="s">
        <v>8</v>
      </c>
      <c r="C136" s="17" t="s">
        <v>43</v>
      </c>
      <c r="D136" s="17" t="s">
        <v>10</v>
      </c>
      <c r="E136" s="30">
        <v>0</v>
      </c>
      <c r="F136" s="17" t="s">
        <v>134</v>
      </c>
      <c r="G136" s="17" t="s">
        <v>135</v>
      </c>
      <c r="H136" s="17" t="s">
        <v>312</v>
      </c>
      <c r="I136" s="27">
        <f>INDEX($F$6:$I$15,MATCH($C136,$B$6:$B$15,0),MATCH($D136,$F$5:$I$5,0))</f>
        <v>4</v>
      </c>
      <c r="J136" s="28">
        <f t="shared" si="10"/>
        <v>0.2</v>
      </c>
      <c r="K136" s="27">
        <f t="shared" si="11"/>
        <v>4</v>
      </c>
      <c r="L136" s="29">
        <f t="shared" si="12"/>
        <v>0.8</v>
      </c>
    </row>
    <row r="137" spans="1:12" ht="58" customHeight="1">
      <c r="A137" s="17" t="s">
        <v>84</v>
      </c>
      <c r="B137" s="17" t="s">
        <v>8</v>
      </c>
      <c r="C137" s="17" t="s">
        <v>43</v>
      </c>
      <c r="D137" s="17" t="s">
        <v>11</v>
      </c>
      <c r="E137" s="30">
        <v>0</v>
      </c>
      <c r="F137" s="17" t="s">
        <v>134</v>
      </c>
      <c r="G137" s="17" t="s">
        <v>135</v>
      </c>
      <c r="H137" s="17" t="s">
        <v>313</v>
      </c>
      <c r="I137" s="27">
        <f>INDEX($F$6:$I$15,MATCH($C137,$B$6:$B$15,0),MATCH($D137,$F$5:$I$5,0))</f>
        <v>3</v>
      </c>
      <c r="J137" s="28">
        <f t="shared" si="10"/>
        <v>0.2</v>
      </c>
      <c r="K137" s="27">
        <f t="shared" si="11"/>
        <v>3</v>
      </c>
      <c r="L137" s="29">
        <f t="shared" si="12"/>
        <v>0.60000000000000009</v>
      </c>
    </row>
    <row r="138" spans="1:12" ht="58" customHeight="1">
      <c r="A138" s="17" t="s">
        <v>84</v>
      </c>
      <c r="B138" s="17" t="s">
        <v>8</v>
      </c>
      <c r="C138" s="17" t="s">
        <v>43</v>
      </c>
      <c r="D138" s="17" t="s">
        <v>12</v>
      </c>
      <c r="E138" s="30">
        <v>-0.5</v>
      </c>
      <c r="F138" s="17" t="s">
        <v>194</v>
      </c>
      <c r="G138" s="17" t="s">
        <v>98</v>
      </c>
      <c r="H138" s="17" t="s">
        <v>314</v>
      </c>
      <c r="I138" s="27">
        <f>INDEX($F$6:$I$15,MATCH($C138,$B$6:$B$15,0),MATCH($D138,$F$5:$I$5,0))</f>
        <v>2</v>
      </c>
      <c r="J138" s="28">
        <f t="shared" si="10"/>
        <v>0.2</v>
      </c>
      <c r="K138" s="27">
        <f t="shared" si="11"/>
        <v>1.5</v>
      </c>
      <c r="L138" s="29">
        <f t="shared" si="12"/>
        <v>0.30000000000000004</v>
      </c>
    </row>
    <row r="139" spans="1:12" ht="58" customHeight="1">
      <c r="A139" s="17" t="s">
        <v>84</v>
      </c>
      <c r="B139" s="17" t="s">
        <v>8</v>
      </c>
      <c r="C139" s="17" t="s">
        <v>43</v>
      </c>
      <c r="D139" s="17" t="s">
        <v>13</v>
      </c>
      <c r="E139" s="30">
        <v>0</v>
      </c>
      <c r="F139" s="17" t="s">
        <v>134</v>
      </c>
      <c r="G139" s="17" t="s">
        <v>135</v>
      </c>
      <c r="H139" s="17" t="s">
        <v>315</v>
      </c>
      <c r="I139" s="27">
        <f>INDEX($F$6:$I$15,MATCH($C139,$B$6:$B$15,0),MATCH($D139,$F$5:$I$5,0))</f>
        <v>5</v>
      </c>
      <c r="J139" s="28">
        <f t="shared" si="10"/>
        <v>0.2</v>
      </c>
      <c r="K139" s="27">
        <f t="shared" si="11"/>
        <v>5</v>
      </c>
      <c r="L139" s="29">
        <f t="shared" si="12"/>
        <v>1</v>
      </c>
    </row>
    <row r="140" spans="1:12" ht="58" customHeight="1">
      <c r="A140" s="17" t="s">
        <v>84</v>
      </c>
      <c r="B140" s="17" t="s">
        <v>8</v>
      </c>
      <c r="C140" s="17" t="s">
        <v>44</v>
      </c>
      <c r="D140" s="17" t="s">
        <v>10</v>
      </c>
      <c r="E140" s="30">
        <v>0</v>
      </c>
      <c r="F140" s="17" t="s">
        <v>134</v>
      </c>
      <c r="G140" s="17" t="s">
        <v>135</v>
      </c>
      <c r="H140" s="17" t="s">
        <v>316</v>
      </c>
      <c r="I140" s="27">
        <f>INDEX($F$6:$I$15,MATCH($C140,$B$6:$B$15,0),MATCH($D140,$F$5:$I$5,0))</f>
        <v>3</v>
      </c>
      <c r="J140" s="28">
        <f t="shared" si="10"/>
        <v>0.15</v>
      </c>
      <c r="K140" s="27">
        <f t="shared" si="11"/>
        <v>3</v>
      </c>
      <c r="L140" s="29">
        <f t="shared" si="12"/>
        <v>0.44999999999999996</v>
      </c>
    </row>
    <row r="141" spans="1:12" ht="58" customHeight="1">
      <c r="A141" s="17" t="s">
        <v>84</v>
      </c>
      <c r="B141" s="17" t="s">
        <v>8</v>
      </c>
      <c r="C141" s="17" t="s">
        <v>44</v>
      </c>
      <c r="D141" s="17" t="s">
        <v>11</v>
      </c>
      <c r="E141" s="30">
        <v>0</v>
      </c>
      <c r="F141" s="17" t="s">
        <v>134</v>
      </c>
      <c r="G141" s="17" t="s">
        <v>135</v>
      </c>
      <c r="H141" s="17" t="s">
        <v>317</v>
      </c>
      <c r="I141" s="27">
        <f>INDEX($F$6:$I$15,MATCH($C141,$B$6:$B$15,0),MATCH($D141,$F$5:$I$5,0))</f>
        <v>5</v>
      </c>
      <c r="J141" s="28">
        <f t="shared" si="10"/>
        <v>0.15</v>
      </c>
      <c r="K141" s="27">
        <f t="shared" si="11"/>
        <v>5</v>
      </c>
      <c r="L141" s="29">
        <f t="shared" si="12"/>
        <v>0.75</v>
      </c>
    </row>
    <row r="142" spans="1:12" ht="58" customHeight="1">
      <c r="A142" s="17" t="s">
        <v>84</v>
      </c>
      <c r="B142" s="17" t="s">
        <v>8</v>
      </c>
      <c r="C142" s="17" t="s">
        <v>44</v>
      </c>
      <c r="D142" s="17" t="s">
        <v>12</v>
      </c>
      <c r="E142" s="30">
        <v>-0.5</v>
      </c>
      <c r="F142" s="17" t="s">
        <v>197</v>
      </c>
      <c r="G142" s="17" t="s">
        <v>98</v>
      </c>
      <c r="H142" s="17" t="s">
        <v>318</v>
      </c>
      <c r="I142" s="27">
        <f>INDEX($F$6:$I$15,MATCH($C142,$B$6:$B$15,0),MATCH($D142,$F$5:$I$5,0))</f>
        <v>2</v>
      </c>
      <c r="J142" s="28">
        <f t="shared" si="10"/>
        <v>0.15</v>
      </c>
      <c r="K142" s="27">
        <f t="shared" si="11"/>
        <v>1.5</v>
      </c>
      <c r="L142" s="29">
        <f t="shared" si="12"/>
        <v>0.22499999999999998</v>
      </c>
    </row>
    <row r="143" spans="1:12" ht="58" customHeight="1">
      <c r="A143" s="17" t="s">
        <v>84</v>
      </c>
      <c r="B143" s="17" t="s">
        <v>8</v>
      </c>
      <c r="C143" s="17" t="s">
        <v>44</v>
      </c>
      <c r="D143" s="17" t="s">
        <v>13</v>
      </c>
      <c r="E143" s="30">
        <v>0</v>
      </c>
      <c r="F143" s="17" t="s">
        <v>134</v>
      </c>
      <c r="G143" s="17" t="s">
        <v>135</v>
      </c>
      <c r="H143" s="17" t="s">
        <v>319</v>
      </c>
      <c r="I143" s="27">
        <f>INDEX($F$6:$I$15,MATCH($C143,$B$6:$B$15,0),MATCH($D143,$F$5:$I$5,0))</f>
        <v>5</v>
      </c>
      <c r="J143" s="28">
        <f t="shared" si="10"/>
        <v>0.15</v>
      </c>
      <c r="K143" s="27">
        <f t="shared" si="11"/>
        <v>5</v>
      </c>
      <c r="L143" s="29">
        <f t="shared" si="12"/>
        <v>0.75</v>
      </c>
    </row>
    <row r="144" spans="1:12" ht="58" customHeight="1">
      <c r="A144" s="17" t="s">
        <v>84</v>
      </c>
      <c r="B144" s="17" t="s">
        <v>8</v>
      </c>
      <c r="C144" s="17" t="s">
        <v>45</v>
      </c>
      <c r="D144" s="17" t="s">
        <v>10</v>
      </c>
      <c r="E144" s="30">
        <v>0</v>
      </c>
      <c r="F144" s="17" t="s">
        <v>134</v>
      </c>
      <c r="G144" s="17" t="s">
        <v>135</v>
      </c>
      <c r="H144" s="17" t="s">
        <v>320</v>
      </c>
      <c r="I144" s="27">
        <f>INDEX($F$6:$I$15,MATCH($C144,$B$6:$B$15,0),MATCH($D144,$F$5:$I$5,0))</f>
        <v>3</v>
      </c>
      <c r="J144" s="28">
        <f t="shared" si="10"/>
        <v>0.15</v>
      </c>
      <c r="K144" s="27">
        <f t="shared" si="11"/>
        <v>3</v>
      </c>
      <c r="L144" s="29">
        <f t="shared" si="12"/>
        <v>0.44999999999999996</v>
      </c>
    </row>
    <row r="145" spans="1:12" ht="58" customHeight="1">
      <c r="A145" s="17" t="s">
        <v>84</v>
      </c>
      <c r="B145" s="17" t="s">
        <v>8</v>
      </c>
      <c r="C145" s="17" t="s">
        <v>45</v>
      </c>
      <c r="D145" s="17" t="s">
        <v>11</v>
      </c>
      <c r="E145" s="30">
        <v>0</v>
      </c>
      <c r="F145" s="17" t="s">
        <v>134</v>
      </c>
      <c r="G145" s="17" t="s">
        <v>135</v>
      </c>
      <c r="H145" s="17" t="s">
        <v>321</v>
      </c>
      <c r="I145" s="27">
        <f>INDEX($F$6:$I$15,MATCH($C145,$B$6:$B$15,0),MATCH($D145,$F$5:$I$5,0))</f>
        <v>4</v>
      </c>
      <c r="J145" s="28">
        <f t="shared" si="10"/>
        <v>0.15</v>
      </c>
      <c r="K145" s="27">
        <f t="shared" si="11"/>
        <v>4</v>
      </c>
      <c r="L145" s="29">
        <f t="shared" si="12"/>
        <v>0.6</v>
      </c>
    </row>
    <row r="146" spans="1:12" ht="58" customHeight="1">
      <c r="A146" s="17" t="s">
        <v>84</v>
      </c>
      <c r="B146" s="17" t="s">
        <v>8</v>
      </c>
      <c r="C146" s="17" t="s">
        <v>45</v>
      </c>
      <c r="D146" s="17" t="s">
        <v>12</v>
      </c>
      <c r="E146" s="30">
        <v>0</v>
      </c>
      <c r="F146" s="17" t="s">
        <v>134</v>
      </c>
      <c r="G146" s="17" t="s">
        <v>135</v>
      </c>
      <c r="H146" s="17" t="s">
        <v>322</v>
      </c>
      <c r="I146" s="27">
        <f>INDEX($F$6:$I$15,MATCH($C146,$B$6:$B$15,0),MATCH($D146,$F$5:$I$5,0))</f>
        <v>5</v>
      </c>
      <c r="J146" s="28">
        <f t="shared" si="10"/>
        <v>0.15</v>
      </c>
      <c r="K146" s="27">
        <f t="shared" si="11"/>
        <v>5</v>
      </c>
      <c r="L146" s="29">
        <f t="shared" si="12"/>
        <v>0.75</v>
      </c>
    </row>
    <row r="147" spans="1:12" ht="58" customHeight="1">
      <c r="A147" s="17" t="s">
        <v>84</v>
      </c>
      <c r="B147" s="17" t="s">
        <v>8</v>
      </c>
      <c r="C147" s="17" t="s">
        <v>45</v>
      </c>
      <c r="D147" s="17" t="s">
        <v>13</v>
      </c>
      <c r="E147" s="30">
        <v>0</v>
      </c>
      <c r="F147" s="17" t="s">
        <v>134</v>
      </c>
      <c r="G147" s="17" t="s">
        <v>135</v>
      </c>
      <c r="H147" s="17" t="s">
        <v>323</v>
      </c>
      <c r="I147" s="27">
        <f>INDEX($F$6:$I$15,MATCH($C147,$B$6:$B$15,0),MATCH($D147,$F$5:$I$5,0))</f>
        <v>1</v>
      </c>
      <c r="J147" s="28">
        <f t="shared" si="10"/>
        <v>0.15</v>
      </c>
      <c r="K147" s="27">
        <f t="shared" si="11"/>
        <v>1</v>
      </c>
      <c r="L147" s="29">
        <f t="shared" si="12"/>
        <v>0.15</v>
      </c>
    </row>
  </sheetData>
  <mergeCells count="17">
    <mergeCell ref="A1:T1"/>
    <mergeCell ref="A2:T2"/>
    <mergeCell ref="A4:I4"/>
    <mergeCell ref="A20:M20"/>
    <mergeCell ref="A26:L26"/>
    <mergeCell ref="N4:T4"/>
    <mergeCell ref="N20:Q20"/>
    <mergeCell ref="C22:D22"/>
    <mergeCell ref="C21:D21"/>
    <mergeCell ref="C23:D23"/>
    <mergeCell ref="C24:D24"/>
    <mergeCell ref="N59:T59"/>
    <mergeCell ref="N54:T54"/>
    <mergeCell ref="N55:T55"/>
    <mergeCell ref="N56:T56"/>
    <mergeCell ref="N57:T57"/>
    <mergeCell ref="N58:T58"/>
  </mergeCells>
  <dataValidations count="3">
    <dataValidation type="decimal" sqref="C6:C15" xr:uid="{00000000-0002-0000-0100-000000000000}">
      <formula1>0</formula1>
      <formula2>1</formula2>
    </dataValidation>
    <dataValidation type="decimal" sqref="F6:I15" xr:uid="{00000000-0002-0000-0100-000001000000}">
      <formula1>1</formula1>
      <formula2>5</formula2>
    </dataValidation>
    <dataValidation type="list" sqref="E28:E147" xr:uid="{00000000-0002-0000-0100-000002000000}">
      <formula1>"-0.5,0,0.5"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workbookViewId="0">
      <selection sqref="A1:H1"/>
    </sheetView>
  </sheetViews>
  <sheetFormatPr baseColWidth="10" defaultColWidth="8.83203125" defaultRowHeight="14"/>
  <cols>
    <col min="1" max="8" width="18" customWidth="1"/>
  </cols>
  <sheetData>
    <row r="1" spans="1:8" ht="32" customHeight="1">
      <c r="A1" s="57" t="s">
        <v>324</v>
      </c>
      <c r="B1" s="57" t="s">
        <v>324</v>
      </c>
      <c r="C1" s="57" t="s">
        <v>324</v>
      </c>
      <c r="D1" s="57" t="s">
        <v>324</v>
      </c>
      <c r="E1" s="57" t="s">
        <v>324</v>
      </c>
      <c r="F1" s="57" t="s">
        <v>324</v>
      </c>
      <c r="G1" s="57" t="s">
        <v>324</v>
      </c>
      <c r="H1" s="57" t="s">
        <v>324</v>
      </c>
    </row>
    <row r="2" spans="1:8" ht="32" customHeight="1">
      <c r="A2" s="69" t="s">
        <v>325</v>
      </c>
      <c r="B2" s="69" t="s">
        <v>325</v>
      </c>
      <c r="C2" s="69" t="s">
        <v>325</v>
      </c>
      <c r="D2" s="69" t="s">
        <v>325</v>
      </c>
      <c r="E2" s="69" t="s">
        <v>325</v>
      </c>
      <c r="F2" s="69" t="s">
        <v>325</v>
      </c>
      <c r="G2" s="69" t="s">
        <v>325</v>
      </c>
      <c r="H2" s="69" t="s">
        <v>325</v>
      </c>
    </row>
    <row r="4" spans="1:8" ht="36" customHeight="1">
      <c r="A4" s="66" t="s">
        <v>326</v>
      </c>
      <c r="B4" s="66" t="s">
        <v>326</v>
      </c>
      <c r="C4" s="66" t="s">
        <v>326</v>
      </c>
      <c r="D4" s="66" t="s">
        <v>326</v>
      </c>
      <c r="E4" s="66" t="s">
        <v>326</v>
      </c>
      <c r="F4" s="66" t="s">
        <v>326</v>
      </c>
      <c r="G4" s="66" t="s">
        <v>326</v>
      </c>
      <c r="H4" s="66" t="s">
        <v>326</v>
      </c>
    </row>
    <row r="5" spans="1:8" ht="36" customHeight="1">
      <c r="A5" s="45" t="s">
        <v>327</v>
      </c>
      <c r="B5" s="45"/>
      <c r="C5" s="45"/>
      <c r="D5" s="45"/>
      <c r="E5" s="45"/>
      <c r="F5" s="45"/>
      <c r="G5" s="45"/>
      <c r="H5" s="45"/>
    </row>
    <row r="6" spans="1:8" ht="36" customHeight="1">
      <c r="A6" s="63" t="s">
        <v>328</v>
      </c>
      <c r="B6" s="63"/>
      <c r="C6" s="63"/>
      <c r="D6" s="63"/>
      <c r="E6" s="63"/>
      <c r="F6" s="63"/>
      <c r="G6" s="63"/>
      <c r="H6" s="63"/>
    </row>
    <row r="7" spans="1:8" ht="36" customHeight="1">
      <c r="A7" s="45" t="s">
        <v>329</v>
      </c>
      <c r="B7" s="45"/>
      <c r="C7" s="45"/>
      <c r="D7" s="45"/>
      <c r="E7" s="45"/>
      <c r="F7" s="45"/>
      <c r="G7" s="45"/>
      <c r="H7" s="45"/>
    </row>
    <row r="8" spans="1:8" ht="36" customHeight="1">
      <c r="A8" s="8"/>
      <c r="B8" s="8"/>
      <c r="C8" s="8"/>
      <c r="D8" s="8"/>
      <c r="E8" s="8"/>
      <c r="F8" s="8"/>
      <c r="G8" s="8"/>
      <c r="H8" s="8"/>
    </row>
    <row r="9" spans="1:8" ht="36" customHeight="1">
      <c r="A9" s="66" t="s">
        <v>330</v>
      </c>
      <c r="B9" s="66" t="s">
        <v>330</v>
      </c>
      <c r="C9" s="66" t="s">
        <v>330</v>
      </c>
      <c r="D9" s="66" t="s">
        <v>330</v>
      </c>
      <c r="E9" s="66" t="s">
        <v>330</v>
      </c>
      <c r="F9" s="66" t="s">
        <v>330</v>
      </c>
      <c r="G9" s="66" t="s">
        <v>330</v>
      </c>
      <c r="H9" s="66" t="s">
        <v>330</v>
      </c>
    </row>
    <row r="10" spans="1:8" ht="36" customHeight="1">
      <c r="A10" s="45" t="s">
        <v>331</v>
      </c>
      <c r="B10" s="45"/>
      <c r="C10" s="45"/>
      <c r="D10" s="45"/>
      <c r="E10" s="45"/>
      <c r="F10" s="45"/>
      <c r="G10" s="45"/>
      <c r="H10" s="45"/>
    </row>
    <row r="11" spans="1:8" ht="36" customHeight="1">
      <c r="A11" s="63" t="s">
        <v>332</v>
      </c>
      <c r="B11" s="63"/>
      <c r="C11" s="63"/>
      <c r="D11" s="63"/>
      <c r="E11" s="63"/>
      <c r="F11" s="63"/>
      <c r="G11" s="63"/>
      <c r="H11" s="63"/>
    </row>
    <row r="12" spans="1:8" ht="36" customHeight="1">
      <c r="A12" s="45" t="s">
        <v>333</v>
      </c>
      <c r="B12" s="45"/>
      <c r="C12" s="45"/>
      <c r="D12" s="45"/>
      <c r="E12" s="45"/>
      <c r="F12" s="45"/>
      <c r="G12" s="45"/>
      <c r="H12" s="45"/>
    </row>
    <row r="13" spans="1:8" ht="36" customHeight="1">
      <c r="A13" s="8"/>
      <c r="B13" s="8"/>
      <c r="C13" s="8"/>
      <c r="D13" s="8"/>
      <c r="E13" s="8"/>
      <c r="F13" s="8"/>
      <c r="G13" s="8"/>
      <c r="H13" s="8"/>
    </row>
    <row r="14" spans="1:8" ht="36" customHeight="1">
      <c r="A14" s="68" t="s">
        <v>334</v>
      </c>
      <c r="B14" s="68" t="s">
        <v>334</v>
      </c>
      <c r="C14" s="68" t="s">
        <v>334</v>
      </c>
      <c r="D14" s="68" t="s">
        <v>334</v>
      </c>
      <c r="E14" s="68" t="s">
        <v>334</v>
      </c>
      <c r="F14" s="68" t="s">
        <v>334</v>
      </c>
      <c r="G14" s="68" t="s">
        <v>334</v>
      </c>
      <c r="H14" s="68" t="s">
        <v>334</v>
      </c>
    </row>
    <row r="15" spans="1:8" ht="36" customHeight="1">
      <c r="A15" s="45" t="s">
        <v>335</v>
      </c>
      <c r="B15" s="45"/>
      <c r="C15" s="45"/>
      <c r="D15" s="45"/>
      <c r="E15" s="45"/>
      <c r="F15" s="45"/>
      <c r="G15" s="45"/>
      <c r="H15" s="45"/>
    </row>
    <row r="16" spans="1:8" ht="36" customHeight="1">
      <c r="A16" s="63" t="s">
        <v>336</v>
      </c>
      <c r="B16" s="63"/>
      <c r="C16" s="63"/>
      <c r="D16" s="63"/>
      <c r="E16" s="63"/>
      <c r="F16" s="63"/>
      <c r="G16" s="63"/>
      <c r="H16" s="63"/>
    </row>
    <row r="17" spans="1:8" ht="36" customHeight="1">
      <c r="A17" s="45" t="s">
        <v>337</v>
      </c>
      <c r="B17" s="45"/>
      <c r="C17" s="45"/>
      <c r="D17" s="45"/>
      <c r="E17" s="45"/>
      <c r="F17" s="45"/>
      <c r="G17" s="45"/>
      <c r="H17" s="45"/>
    </row>
    <row r="18" spans="1:8" ht="36" customHeight="1">
      <c r="A18" s="63" t="s">
        <v>338</v>
      </c>
      <c r="B18" s="63"/>
      <c r="C18" s="63"/>
      <c r="D18" s="63"/>
      <c r="E18" s="63"/>
      <c r="F18" s="63"/>
      <c r="G18" s="63"/>
      <c r="H18" s="63"/>
    </row>
    <row r="19" spans="1:8" ht="36" customHeight="1">
      <c r="A19" s="45" t="s">
        <v>339</v>
      </c>
      <c r="B19" s="45"/>
      <c r="C19" s="45"/>
      <c r="D19" s="45"/>
      <c r="E19" s="45"/>
      <c r="F19" s="45"/>
      <c r="G19" s="45"/>
      <c r="H19" s="45"/>
    </row>
    <row r="20" spans="1:8" ht="36" customHeight="1">
      <c r="A20" s="8"/>
      <c r="B20" s="8"/>
      <c r="C20" s="8"/>
      <c r="D20" s="8"/>
      <c r="E20" s="8"/>
      <c r="F20" s="8"/>
      <c r="G20" s="8"/>
      <c r="H20" s="8"/>
    </row>
    <row r="21" spans="1:8" ht="36" customHeight="1">
      <c r="A21" s="66" t="s">
        <v>340</v>
      </c>
      <c r="B21" s="66" t="s">
        <v>340</v>
      </c>
      <c r="C21" s="66" t="s">
        <v>340</v>
      </c>
      <c r="D21" s="66" t="s">
        <v>340</v>
      </c>
      <c r="E21" s="66" t="s">
        <v>340</v>
      </c>
      <c r="F21" s="66" t="s">
        <v>340</v>
      </c>
      <c r="G21" s="66" t="s">
        <v>340</v>
      </c>
      <c r="H21" s="66" t="s">
        <v>340</v>
      </c>
    </row>
    <row r="22" spans="1:8" ht="36" customHeight="1">
      <c r="A22" s="45" t="s">
        <v>341</v>
      </c>
      <c r="B22" s="45"/>
      <c r="C22" s="45"/>
      <c r="D22" s="45"/>
      <c r="E22" s="45"/>
      <c r="F22" s="45"/>
      <c r="G22" s="45"/>
      <c r="H22" s="45"/>
    </row>
    <row r="23" spans="1:8" ht="36" customHeight="1">
      <c r="A23" s="63" t="s">
        <v>342</v>
      </c>
      <c r="B23" s="63"/>
      <c r="C23" s="63"/>
      <c r="D23" s="63"/>
      <c r="E23" s="63"/>
      <c r="F23" s="63"/>
      <c r="G23" s="63"/>
      <c r="H23" s="63"/>
    </row>
    <row r="24" spans="1:8" ht="36" customHeight="1">
      <c r="A24" s="45" t="s">
        <v>343</v>
      </c>
      <c r="B24" s="45"/>
      <c r="C24" s="45"/>
      <c r="D24" s="45"/>
      <c r="E24" s="45"/>
      <c r="F24" s="45"/>
      <c r="G24" s="45"/>
      <c r="H24" s="45"/>
    </row>
    <row r="25" spans="1:8" ht="36" customHeight="1">
      <c r="A25" s="8"/>
      <c r="B25" s="8"/>
      <c r="C25" s="8"/>
      <c r="D25" s="8"/>
      <c r="E25" s="8"/>
      <c r="F25" s="8"/>
      <c r="G25" s="8"/>
      <c r="H25" s="8"/>
    </row>
    <row r="26" spans="1:8" ht="36" customHeight="1">
      <c r="A26" s="66" t="s">
        <v>344</v>
      </c>
      <c r="B26" s="66" t="s">
        <v>344</v>
      </c>
      <c r="C26" s="66" t="s">
        <v>344</v>
      </c>
      <c r="D26" s="66" t="s">
        <v>344</v>
      </c>
      <c r="E26" s="66" t="s">
        <v>344</v>
      </c>
      <c r="F26" s="66" t="s">
        <v>344</v>
      </c>
      <c r="G26" s="66" t="s">
        <v>344</v>
      </c>
      <c r="H26" s="66" t="s">
        <v>344</v>
      </c>
    </row>
    <row r="27" spans="1:8" ht="36" customHeight="1">
      <c r="A27" s="45" t="s">
        <v>345</v>
      </c>
      <c r="B27" s="45"/>
      <c r="C27" s="45"/>
      <c r="D27" s="45"/>
      <c r="E27" s="45"/>
      <c r="F27" s="45"/>
      <c r="G27" s="45"/>
      <c r="H27" s="45"/>
    </row>
    <row r="28" spans="1:8" ht="36" customHeight="1">
      <c r="A28" s="63" t="s">
        <v>346</v>
      </c>
      <c r="B28" s="63"/>
      <c r="C28" s="63"/>
      <c r="D28" s="63"/>
      <c r="E28" s="63"/>
      <c r="F28" s="63"/>
      <c r="G28" s="63"/>
      <c r="H28" s="63"/>
    </row>
    <row r="29" spans="1:8" ht="36" customHeight="1">
      <c r="A29" s="45" t="s">
        <v>347</v>
      </c>
      <c r="B29" s="45"/>
      <c r="C29" s="45"/>
      <c r="D29" s="45"/>
      <c r="E29" s="45"/>
      <c r="F29" s="45"/>
      <c r="G29" s="45"/>
      <c r="H29" s="45"/>
    </row>
    <row r="30" spans="1:8" ht="36" customHeight="1"/>
    <row r="31" spans="1:8" ht="36" customHeight="1">
      <c r="A31" s="67" t="s">
        <v>348</v>
      </c>
      <c r="B31" s="67" t="s">
        <v>348</v>
      </c>
      <c r="C31" s="67" t="s">
        <v>348</v>
      </c>
      <c r="D31" s="67" t="s">
        <v>348</v>
      </c>
      <c r="E31" s="67" t="s">
        <v>348</v>
      </c>
      <c r="F31" s="67" t="s">
        <v>348</v>
      </c>
      <c r="G31" s="67" t="s">
        <v>348</v>
      </c>
      <c r="H31" s="67" t="s">
        <v>348</v>
      </c>
    </row>
  </sheetData>
  <mergeCells count="25">
    <mergeCell ref="A1:H1"/>
    <mergeCell ref="A2:H2"/>
    <mergeCell ref="A4:H4"/>
    <mergeCell ref="A5:H5"/>
    <mergeCell ref="A6:H6"/>
    <mergeCell ref="A7:H7"/>
    <mergeCell ref="A9:H9"/>
    <mergeCell ref="A10:H10"/>
    <mergeCell ref="A11:H11"/>
    <mergeCell ref="A12:H12"/>
    <mergeCell ref="A14:H14"/>
    <mergeCell ref="A15:H15"/>
    <mergeCell ref="A16:H16"/>
    <mergeCell ref="A17:H17"/>
    <mergeCell ref="A18:H18"/>
    <mergeCell ref="A19:H19"/>
    <mergeCell ref="A21:H21"/>
    <mergeCell ref="A22:H22"/>
    <mergeCell ref="A23:H23"/>
    <mergeCell ref="A24:H24"/>
    <mergeCell ref="A26:H26"/>
    <mergeCell ref="A27:H27"/>
    <mergeCell ref="A28:H28"/>
    <mergeCell ref="A29:H29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 Tool</vt:lpstr>
      <vt:lpstr>Public Inputs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Janse</cp:lastModifiedBy>
  <dcterms:modified xsi:type="dcterms:W3CDTF">2026-08-31T11:24:46Z</dcterms:modified>
</cp:coreProperties>
</file>